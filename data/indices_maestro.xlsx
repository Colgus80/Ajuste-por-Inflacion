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Informe p-Imprimir" sheetId="1" state="hidden" r:id="rId2"/>
    <sheet name="INDICES" sheetId="2" state="visible" r:id="rId3"/>
    <sheet name="DOLAR DE REFERENCIA-BCRA" sheetId="3" state="visible" r:id="rId4"/>
  </sheets>
  <definedNames>
    <definedName function="false" hidden="false" localSheetId="0" name="_xlnm.Print_Area" vbProcedure="false">'Informe p-Imprimir'!$A$1:$P$92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<sst xmlns="http://schemas.openxmlformats.org/spreadsheetml/2006/main" count="41" uniqueCount="36">
  <si>
    <t xml:space="preserve">AJUSTE POR INFLACIÓN</t>
  </si>
  <si>
    <t xml:space="preserve">NOMBRE DE LA EMPRESA:</t>
  </si>
  <si>
    <t xml:space="preserve">FILIAL:</t>
  </si>
  <si>
    <t xml:space="preserve">CUENTA</t>
  </si>
  <si>
    <t xml:space="preserve">EE.CC.</t>
  </si>
  <si>
    <t xml:space="preserve">AJUSTADOS</t>
  </si>
  <si>
    <t xml:space="preserve">TOTAL HISTORICO</t>
  </si>
  <si>
    <t xml:space="preserve">Cotiz USD</t>
  </si>
  <si>
    <t xml:space="preserve">Prom:</t>
  </si>
  <si>
    <t xml:space="preserve">TOTAL</t>
  </si>
  <si>
    <t xml:space="preserve">PROMEDIO</t>
  </si>
  <si>
    <t xml:space="preserve">Facturación último ejercicio</t>
  </si>
  <si>
    <t xml:space="preserve">Ventas post cierre</t>
  </si>
  <si>
    <t xml:space="preserve">ANALISIS DE LA EVOLUCIÓN ESTACIONAL EN MONEDA HOMOGÉNEA</t>
  </si>
  <si>
    <t xml:space="preserve">FACTURACIÓN POST CIERRE (igual período del año anterior)</t>
  </si>
  <si>
    <t xml:space="preserve">LOCAL $</t>
  </si>
  <si>
    <t xml:space="preserve">EXTERNO $</t>
  </si>
  <si>
    <t xml:space="preserve">EXTERNO USD</t>
  </si>
  <si>
    <t xml:space="preserve">REEXPRESADO</t>
  </si>
  <si>
    <t xml:space="preserve">        COMPARAR EVOLUCIÓN DE VENTAS MES A MES                               %</t>
  </si>
  <si>
    <t xml:space="preserve">ESTACIONALIDAD:  evolución post cierre ajustada por inflación a:</t>
  </si>
  <si>
    <t xml:space="preserve">Ventas post cierre (anteriores)</t>
  </si>
  <si>
    <t xml:space="preserve">Evolución</t>
  </si>
  <si>
    <t xml:space="preserve">Ventas post cierre (actuales)</t>
  </si>
  <si>
    <t xml:space="preserve">Actualizar índices mes a mes</t>
  </si>
  <si>
    <t xml:space="preserve">ÚLTIMO ÍNDICE CARGADO</t>
  </si>
  <si>
    <t xml:space="preserve">MES</t>
  </si>
  <si>
    <t xml:space="preserve">COTIZACIÓN</t>
  </si>
  <si>
    <t xml:space="preserve">FECHA</t>
  </si>
  <si>
    <t xml:space="preserve">DÓLAR DE REFERENCIA BCRA</t>
  </si>
  <si>
    <t xml:space="preserve">ÚLTIMO DATO</t>
  </si>
  <si>
    <t xml:space="preserve">ACTUALIZAR COLUMNAS B y D</t>
  </si>
  <si>
    <t xml:space="preserve">Con Dólar de Referencia BCRA al último día hábil del mes</t>
  </si>
  <si>
    <t xml:space="preserve">Columna A actualiza automáticamente</t>
  </si>
  <si>
    <t xml:space="preserve"> &gt;&gt;&gt;&gt;  DESCARGAR EXCEL CON COTIZACIONES  &lt;&lt;&lt;&lt;</t>
  </si>
  <si>
    <t xml:space="preserve">&lt;= BCRA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</si>
</sst>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 [$€-2]\ * #,##0.00_ ;_ [$€-2]\ * \-#,##0.00_ ;_ [$€-2]\ * \-??_ "/>
    <numFmt numFmtId="166" formatCode="_ * #,##0.00_ ;_ * \-#,##0.00_ ;_ * \-??_ ;_ @_ "/>
    <numFmt numFmtId="167" formatCode="_ &quot;$ &quot;* #,##0.00_ ;_ &quot;$ &quot;* \-#,##0.00_ ;_ &quot;$ &quot;* \-??_ ;_ @_ "/>
    <numFmt numFmtId="168" formatCode="0\ %"/>
    <numFmt numFmtId="169" formatCode="General"/>
    <numFmt numFmtId="170" formatCode="mm/yy"/>
    <numFmt numFmtId="171" formatCode="_ &quot;$ &quot;* #,##0_ ;_ &quot;$ &quot;* \-#,##0_ ;_ &quot;$ &quot;* \-??_ ;_ @_ "/>
    <numFmt numFmtId="172" formatCode="_ * #,##0_ ;_ * \-#,##0_ ;_ * \-??_ ;_ @_ "/>
    <numFmt numFmtId="173" formatCode="_ * #,##0.0000_ ;_ * \-#,##0.0000_ ;_ * \-??_ ;_ @_ "/>
    <numFmt numFmtId="174" formatCode="[$USD]\ #,##0"/>
    <numFmt numFmtId="175" formatCode="#,##0%;[RED]\-#,##0%"/>
    <numFmt numFmtId="176" formatCode="[$USD]\ #,##0.00"/>
    <numFmt numFmtId="177" formatCode="mmmm\-yy"/>
    <numFmt numFmtId="178" formatCode="0.0000"/>
    <numFmt numFmtId="179" formatCode="dd\-mm\-yy"/>
  </numFmts>
  <fonts count="3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08000"/>
      <name val="Calibri"/>
      <family val="2"/>
    </font>
    <font>
      <b val="true"/>
      <sz val="11"/>
      <color rgb="FFFFFFFF"/>
      <name val="Calibri"/>
      <family val="2"/>
    </font>
    <font>
      <sz val="11"/>
      <color rgb="FFFF9900"/>
      <name val="Calibri"/>
      <family val="2"/>
    </font>
    <font>
      <b val="true"/>
      <sz val="11"/>
      <color rgb="FFFF9900"/>
      <name val="Calibri"/>
      <family val="2"/>
    </font>
    <font>
      <b val="true"/>
      <sz val="15"/>
      <color rgb="FF666699"/>
      <name val="Calibri"/>
      <family val="2"/>
    </font>
    <font>
      <b val="true"/>
      <sz val="11"/>
      <color rgb="FF666699"/>
      <name val="Calibri"/>
      <family val="2"/>
    </font>
    <font>
      <sz val="11"/>
      <color rgb="FF333399"/>
      <name val="Calibri"/>
      <family val="2"/>
    </font>
    <font>
      <sz val="11"/>
      <color rgb="FF800080"/>
      <name val="Calibri"/>
      <family val="2"/>
    </font>
    <font>
      <sz val="11"/>
      <color rgb="FF993300"/>
      <name val="Calibri"/>
      <family val="2"/>
    </font>
    <font>
      <sz val="10"/>
      <name val="Arial"/>
      <family val="2"/>
    </font>
    <font>
      <b val="true"/>
      <sz val="11"/>
      <color rgb="FF333333"/>
      <name val="Calibri"/>
      <family val="2"/>
    </font>
    <font>
      <sz val="11"/>
      <color rgb="FFFF0000"/>
      <name val="Calibri"/>
      <family val="2"/>
    </font>
    <font>
      <i val="true"/>
      <sz val="11"/>
      <color rgb="FF808080"/>
      <name val="Calibri"/>
      <family val="2"/>
    </font>
    <font>
      <b val="true"/>
      <sz val="11"/>
      <color rgb="FF000000"/>
      <name val="Calibri"/>
      <family val="2"/>
    </font>
    <font>
      <b val="true"/>
      <sz val="13"/>
      <color rgb="FF666699"/>
      <name val="Calibri"/>
      <family val="2"/>
    </font>
    <font>
      <sz val="18"/>
      <color rgb="FF666699"/>
      <name val="Calibri Light"/>
      <family val="2"/>
    </font>
    <font>
      <sz val="10"/>
      <color rgb="FFFFFFFF"/>
      <name val="Arial"/>
      <family val="2"/>
    </font>
    <font>
      <b val="true"/>
      <sz val="11"/>
      <name val="Arial"/>
      <family val="2"/>
    </font>
    <font>
      <b val="true"/>
      <i val="true"/>
      <sz val="10"/>
      <color rgb="FFFF0000"/>
      <name val="Arial"/>
      <family val="2"/>
    </font>
    <font>
      <b val="true"/>
      <sz val="10"/>
      <name val="Arial"/>
      <family val="2"/>
    </font>
    <font>
      <b val="true"/>
      <sz val="10"/>
      <color rgb="FFFF0000"/>
      <name val="Arial"/>
      <family val="2"/>
    </font>
    <font>
      <b val="true"/>
      <sz val="10"/>
      <color rgb="FFFFFFFF"/>
      <name val="Arial"/>
      <family val="2"/>
    </font>
    <font>
      <b val="true"/>
      <i val="true"/>
      <sz val="10"/>
      <name val="Arial"/>
      <family val="2"/>
    </font>
    <font>
      <i val="true"/>
      <sz val="10"/>
      <color rgb="FFFFCC99"/>
      <name val="Arial"/>
      <family val="2"/>
    </font>
    <font>
      <i val="true"/>
      <sz val="10"/>
      <color rgb="FFCCFFFF"/>
      <name val="Arial"/>
      <family val="2"/>
    </font>
    <font>
      <b val="true"/>
      <u val="single"/>
      <sz val="10"/>
      <name val="Arial"/>
      <family val="2"/>
    </font>
    <font>
      <sz val="10"/>
      <color rgb="FFFF0000"/>
      <name val="Arial"/>
      <family val="2"/>
    </font>
    <font>
      <sz val="12"/>
      <name val="Verdana"/>
      <family val="2"/>
    </font>
    <font>
      <b val="true"/>
      <sz val="12"/>
      <name val="Verdana"/>
      <family val="2"/>
    </font>
    <font>
      <b val="true"/>
      <i val="true"/>
      <sz val="10"/>
      <color rgb="FF99CCFF"/>
      <name val="Arial"/>
      <family val="2"/>
    </font>
    <font>
      <i val="true"/>
      <sz val="10"/>
      <color rgb="FF99CCFF"/>
      <name val="Arial"/>
      <family val="2"/>
    </font>
    <font>
      <b val="true"/>
      <u val="single"/>
      <sz val="10"/>
      <color rgb="FF0000FF"/>
      <name val="Arial"/>
      <family val="2"/>
    </font>
    <font>
      <u val="single"/>
      <sz val="10"/>
      <color rgb="FF0000FF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33CCCC"/>
        <bgColor rgb="FF00CCFF"/>
      </patternFill>
    </fill>
    <fill>
      <patternFill patternType="solid">
        <fgColor rgb="FF339966"/>
        <bgColor rgb="FF008080"/>
      </patternFill>
    </fill>
    <fill>
      <patternFill patternType="solid">
        <fgColor rgb="FF969696"/>
        <bgColor rgb="FF808080"/>
      </patternFill>
    </fill>
    <fill>
      <patternFill patternType="solid">
        <fgColor rgb="FFFF99CC"/>
        <bgColor rgb="FFFF8080"/>
      </patternFill>
    </fill>
    <fill>
      <patternFill patternType="solid">
        <fgColor rgb="FFFF6600"/>
        <bgColor rgb="FFFF9900"/>
      </patternFill>
    </fill>
    <fill>
      <patternFill patternType="solid">
        <fgColor rgb="FFFFCC00"/>
        <bgColor rgb="FFFFFF00"/>
      </patternFill>
    </fill>
    <fill>
      <patternFill patternType="solid">
        <fgColor rgb="FF333399"/>
        <bgColor rgb="FF003366"/>
      </patternFill>
    </fill>
    <fill>
      <patternFill patternType="solid">
        <fgColor rgb="FF000000"/>
        <bgColor rgb="FF003300"/>
      </patternFill>
    </fill>
    <fill>
      <patternFill patternType="solid">
        <fgColor rgb="FF333333"/>
        <bgColor rgb="FF333300"/>
      </patternFill>
    </fill>
    <fill>
      <patternFill patternType="solid">
        <fgColor rgb="FF808080"/>
        <bgColor rgb="FF969696"/>
      </patternFill>
    </fill>
    <fill>
      <patternFill patternType="solid">
        <fgColor rgb="FF008000"/>
        <bgColor rgb="FF008080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/>
      <right/>
      <top/>
      <bottom style="thick">
        <color rgb="FF99CCFF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>
        <color rgb="FF003366"/>
      </left>
      <right style="medium">
        <color rgb="FF003366"/>
      </right>
      <top style="medium">
        <color rgb="FF003366"/>
      </top>
      <bottom/>
      <diagonal/>
    </border>
    <border diagonalUp="false" diagonalDown="false">
      <left style="medium">
        <color rgb="FF003366"/>
      </left>
      <right style="medium">
        <color rgb="FF003366"/>
      </right>
      <top/>
      <bottom style="medium">
        <color rgb="FF003366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>
        <color rgb="FF008080"/>
      </left>
      <right style="medium">
        <color rgb="FF008080"/>
      </right>
      <top style="medium">
        <color rgb="FF008080"/>
      </top>
      <bottom/>
      <diagonal/>
    </border>
    <border diagonalUp="false" diagonalDown="false">
      <left style="medium">
        <color rgb="FF008080"/>
      </left>
      <right style="medium">
        <color rgb="FF008080"/>
      </right>
      <top/>
      <bottom style="medium">
        <color rgb="FF008080"/>
      </bottom>
      <diagonal/>
    </border>
    <border diagonalUp="false" diagonalDown="false">
      <left style="thin">
        <color rgb="FF008000"/>
      </left>
      <right/>
      <top style="thin">
        <color rgb="FF008000"/>
      </top>
      <bottom/>
      <diagonal/>
    </border>
    <border diagonalUp="false" diagonalDown="false">
      <left/>
      <right/>
      <top style="thin">
        <color rgb="FF008000"/>
      </top>
      <bottom/>
      <diagonal/>
    </border>
    <border diagonalUp="false" diagonalDown="false">
      <left/>
      <right style="thin">
        <color rgb="FF008000"/>
      </right>
      <top style="thin">
        <color rgb="FF008000"/>
      </top>
      <bottom/>
      <diagonal/>
    </border>
    <border diagonalUp="false" diagonalDown="false">
      <left style="thin">
        <color rgb="FF008000"/>
      </left>
      <right/>
      <top/>
      <bottom/>
      <diagonal/>
    </border>
    <border diagonalUp="false" diagonalDown="false">
      <left/>
      <right style="thin">
        <color rgb="FF008000"/>
      </right>
      <top/>
      <bottom/>
      <diagonal/>
    </border>
    <border diagonalUp="false" diagonalDown="false">
      <left style="thin">
        <color rgb="FF008000"/>
      </left>
      <right style="thin">
        <color rgb="FF008000"/>
      </right>
      <top/>
      <bottom style="thin">
        <color rgb="FF008000"/>
      </bottom>
      <diagonal/>
    </border>
  </borders>
  <cellStyleXfs count="6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false" applyProtection="false"/>
    <xf numFmtId="164" fontId="38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6" borderId="0" applyFont="true" applyBorder="false" applyAlignment="false" applyProtection="false"/>
    <xf numFmtId="164" fontId="4" fillId="7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8" borderId="0" applyFont="true" applyBorder="false" applyAlignment="false" applyProtection="false"/>
    <xf numFmtId="164" fontId="4" fillId="10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12" borderId="0" applyFont="true" applyBorder="false" applyAlignment="false" applyProtection="false"/>
    <xf numFmtId="164" fontId="6" fillId="7" borderId="0" applyFont="true" applyBorder="false" applyAlignment="false" applyProtection="false"/>
    <xf numFmtId="164" fontId="7" fillId="13" borderId="1" applyFont="true" applyBorder="true" applyAlignment="false" applyProtection="false"/>
    <xf numFmtId="164" fontId="8" fillId="0" borderId="2" applyFont="true" applyBorder="true" applyAlignment="false" applyProtection="false"/>
    <xf numFmtId="164" fontId="9" fillId="9" borderId="3" applyFont="true" applyBorder="true" applyAlignment="false" applyProtection="false"/>
    <xf numFmtId="164" fontId="10" fillId="0" borderId="4" applyFont="true" applyBorder="true" applyAlignment="false" applyProtection="false"/>
    <xf numFmtId="164" fontId="11" fillId="0" borderId="0" applyFont="true" applyBorder="false" applyAlignment="false" applyProtection="false"/>
    <xf numFmtId="164" fontId="12" fillId="3" borderId="3" applyFont="true" applyBorder="true" applyAlignment="false" applyProtection="false"/>
    <xf numFmtId="165" fontId="0" fillId="0" borderId="0" applyFont="true" applyBorder="false" applyAlignment="false" applyProtection="false"/>
    <xf numFmtId="164" fontId="13" fillId="14" borderId="0" applyFont="true" applyBorder="false" applyAlignment="false" applyProtection="false"/>
    <xf numFmtId="166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164" fontId="14" fillId="10" borderId="0" applyFont="true" applyBorder="false" applyAlignment="false" applyProtection="false"/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applyFont="true" applyBorder="true" applyAlignment="false" applyProtection="false"/>
    <xf numFmtId="168" fontId="0" fillId="0" borderId="0" applyFont="true" applyBorder="false" applyAlignment="false" applyProtection="false"/>
    <xf numFmtId="164" fontId="16" fillId="9" borderId="6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0" applyFont="true" applyBorder="false" applyAlignment="false" applyProtection="false"/>
    <xf numFmtId="164" fontId="19" fillId="0" borderId="7" applyFont="true" applyBorder="true" applyAlignment="false" applyProtection="false"/>
    <xf numFmtId="164" fontId="20" fillId="0" borderId="8" applyFont="true" applyBorder="true" applyAlignment="false" applyProtection="false"/>
    <xf numFmtId="164" fontId="11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5" fillId="11" borderId="0" applyFont="true" applyBorder="false" applyAlignment="false" applyProtection="false"/>
    <xf numFmtId="164" fontId="5" fillId="15" borderId="0" applyFont="true" applyBorder="false" applyAlignment="false" applyProtection="false"/>
    <xf numFmtId="164" fontId="5" fillId="13" borderId="0" applyFont="true" applyBorder="false" applyAlignment="false" applyProtection="false"/>
    <xf numFmtId="164" fontId="5" fillId="16" borderId="0" applyFont="true" applyBorder="false" applyAlignment="false" applyProtection="false"/>
    <xf numFmtId="164" fontId="5" fillId="17" borderId="0" applyFont="true" applyBorder="false" applyAlignment="false" applyProtection="false"/>
    <xf numFmtId="164" fontId="5" fillId="12" borderId="0" applyFont="true" applyBorder="false" applyAlignment="false" applyProtection="false"/>
  </cellStyleXfs>
  <cellXfs count="1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5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9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5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5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10" xfId="1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2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1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2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9" fontId="25" fillId="0" borderId="2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5" fillId="9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14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19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5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19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9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5" fillId="9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9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5" fillId="9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9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5" fillId="9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5" fillId="7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7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0" borderId="0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2" fontId="15" fillId="0" borderId="0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25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5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2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2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5" fillId="0" borderId="25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5" fillId="0" borderId="2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3" fontId="1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0" borderId="27" xfId="17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2" fontId="15" fillId="0" borderId="27" xfId="15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15" fillId="0" borderId="2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25" fillId="0" borderId="2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5" fillId="0" borderId="29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15" fillId="0" borderId="27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5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5" fillId="0" borderId="2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25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5" fillId="0" borderId="24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5" fillId="0" borderId="2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5" fillId="9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5" fillId="9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5" fillId="0" borderId="3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9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5" fillId="9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5" fillId="0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25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0" borderId="3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5" fillId="0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0" borderId="3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5" fillId="0" borderId="26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5" fillId="0" borderId="28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5" fillId="0" borderId="27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25" fillId="0" borderId="28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2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5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2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5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9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3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8" fillId="0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3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5" fillId="0" borderId="2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8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2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8" fillId="0" borderId="2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5" fillId="0" borderId="2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5" fillId="9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9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4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32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4" fillId="4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4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2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2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1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3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3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4" fillId="7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4" fillId="7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34" fillId="7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9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9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4" borderId="46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5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" xfId="21"/>
    <cellStyle name="20% - Énfasis2" xfId="22"/>
    <cellStyle name="20% - Énfasis3" xfId="23"/>
    <cellStyle name="20% - Énfasis4" xfId="24"/>
    <cellStyle name="20% - Énfasis5" xfId="25"/>
    <cellStyle name="20% - Énfasis6" xfId="26"/>
    <cellStyle name="40% - Énfasis1" xfId="27"/>
    <cellStyle name="40% - Énfasis2" xfId="28"/>
    <cellStyle name="40% - Énfasis3" xfId="29"/>
    <cellStyle name="40% - Énfasis4" xfId="30"/>
    <cellStyle name="40% - Énfasis5" xfId="31"/>
    <cellStyle name="40% - Énfasis6" xfId="32"/>
    <cellStyle name="60% - Énfasis1" xfId="33"/>
    <cellStyle name="60% - Énfasis2" xfId="34"/>
    <cellStyle name="60% - Énfasis3" xfId="35"/>
    <cellStyle name="60% - Énfasis4" xfId="36"/>
    <cellStyle name="60% - Énfasis5" xfId="37"/>
    <cellStyle name="60% - Énfasis6" xfId="38"/>
    <cellStyle name="Bueno 1" xfId="39"/>
    <cellStyle name="Celda de comprobación" xfId="40"/>
    <cellStyle name="Celda vinculada" xfId="41"/>
    <cellStyle name="Cálculo" xfId="42"/>
    <cellStyle name="Encabezado 1" xfId="43"/>
    <cellStyle name="Encabezado 4" xfId="44"/>
    <cellStyle name="Entrada" xfId="45"/>
    <cellStyle name="Euro" xfId="46"/>
    <cellStyle name="Incorrecto" xfId="47"/>
    <cellStyle name="Millares 2" xfId="48"/>
    <cellStyle name="Moneda 2" xfId="49"/>
    <cellStyle name="Neutro" xfId="50"/>
    <cellStyle name="Normal 2" xfId="51"/>
    <cellStyle name="Normal 4" xfId="52"/>
    <cellStyle name="Notas" xfId="53"/>
    <cellStyle name="Porcentaje 2" xfId="54"/>
    <cellStyle name="Salida" xfId="55"/>
    <cellStyle name="Texto de advertencia" xfId="56"/>
    <cellStyle name="Texto explicativo" xfId="57"/>
    <cellStyle name="Total" xfId="58"/>
    <cellStyle name="Título 2 1" xfId="59"/>
    <cellStyle name="Título 3" xfId="60"/>
    <cellStyle name="Título 4" xfId="61"/>
    <cellStyle name="Énfasis1" xfId="62"/>
    <cellStyle name="Énfasis2" xfId="63"/>
    <cellStyle name="Énfasis3" xfId="64"/>
    <cellStyle name="Énfasis4" xfId="65"/>
    <cellStyle name="Énfasis5" xfId="66"/>
    <cellStyle name="Énfasis6" xfId="67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bcra.gob.ar/Pdfs/PublicacionesEstadisticas/com3500.xl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1"/>
  <sheetViews>
    <sheetView showFormulas="false" showGridLines="true" showRowColHeaders="true" showZeros="true" rightToLeft="false" tabSelected="false" showOutlineSymbols="true" defaultGridColor="true" view="normal" topLeftCell="A41" colorId="64" zoomScale="100" zoomScaleNormal="100" zoomScalePageLayoutView="100" workbookViewId="0">
      <selection pane="topLeft" activeCell="B38" activeCellId="0" sqref="B38"/>
    </sheetView>
  </sheetViews>
  <sheetFormatPr defaultColWidth="11.41796875" defaultRowHeight="12.75" zeroHeight="false" outlineLevelRow="0" outlineLevelCol="0"/>
  <cols>
    <col collapsed="false" customWidth="true" hidden="false" outlineLevel="0" max="1" min="1" style="1" width="2.84"/>
    <col collapsed="false" customWidth="true" hidden="false" outlineLevel="0" max="2" min="2" style="2" width="9.7"/>
    <col collapsed="false" customWidth="true" hidden="false" outlineLevel="0" max="3" min="3" style="2" width="16.13"/>
    <col collapsed="false" customWidth="true" hidden="false" outlineLevel="0" max="4" min="4" style="2" width="15.85"/>
    <col collapsed="false" customWidth="true" hidden="false" outlineLevel="0" max="5" min="5" style="2" width="17.56"/>
    <col collapsed="false" customWidth="true" hidden="false" outlineLevel="0" max="6" min="6" style="2" width="1.41"/>
    <col collapsed="false" customWidth="true" hidden="false" outlineLevel="0" max="7" min="7" style="2" width="16.7"/>
    <col collapsed="false" customWidth="true" hidden="false" outlineLevel="0" max="8" min="8" style="2" width="1.13"/>
    <col collapsed="false" customWidth="true" hidden="false" outlineLevel="0" max="9" min="9" style="2" width="1.85"/>
    <col collapsed="false" customWidth="true" hidden="false" outlineLevel="0" max="10" min="10" style="1" width="15.99"/>
    <col collapsed="false" customWidth="true" hidden="false" outlineLevel="0" max="11" min="11" style="1" width="5.28"/>
    <col collapsed="false" customWidth="true" hidden="false" outlineLevel="0" max="12" min="12" style="1" width="15.41"/>
    <col collapsed="false" customWidth="true" hidden="false" outlineLevel="0" max="13" min="13" style="1" width="9.41"/>
    <col collapsed="false" customWidth="true" hidden="false" outlineLevel="0" max="14" min="14" style="1" width="11.7"/>
    <col collapsed="false" customWidth="true" hidden="false" outlineLevel="0" max="15" min="15" style="1" width="1.99"/>
    <col collapsed="false" customWidth="true" hidden="false" outlineLevel="0" max="16" min="16" style="1" width="0.7"/>
    <col collapsed="false" customWidth="true" hidden="false" outlineLevel="0" max="17" min="17" style="1" width="12.56"/>
    <col collapsed="false" customWidth="true" hidden="false" outlineLevel="0" max="18" min="18" style="3" width="0.7"/>
    <col collapsed="false" customWidth="true" hidden="false" outlineLevel="0" max="19" min="19" style="4" width="1.13"/>
    <col collapsed="false" customWidth="true" hidden="true" outlineLevel="0" max="20" min="20" style="5" width="9.99"/>
    <col collapsed="false" customWidth="false" hidden="false" outlineLevel="0" max="25" min="21" style="5" width="11.42"/>
    <col collapsed="false" customWidth="false" hidden="false" outlineLevel="0" max="31" min="26" style="6" width="11.42"/>
    <col collapsed="false" customWidth="true" hidden="false" outlineLevel="0" max="32" min="32" style="6" width="12.42"/>
    <col collapsed="false" customWidth="false" hidden="false" outlineLevel="0" max="59" min="33" style="6" width="11.42"/>
    <col collapsed="false" customWidth="false" hidden="false" outlineLevel="0" max="101" min="60" style="7" width="11.42"/>
    <col collapsed="false" customWidth="false" hidden="false" outlineLevel="0" max="257" min="102" style="8" width="11.42"/>
  </cols>
  <sheetData>
    <row r="1" customFormat="false" ht="12" hidden="false" customHeight="true" outlineLevel="0" collapsed="false"/>
    <row r="2" customFormat="false" ht="17.25" hidden="false" customHeight="true" outlineLevel="0" collapsed="false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V2" s="10"/>
    </row>
    <row r="3" customFormat="false" ht="9" hidden="false" customHeight="true" outlineLevel="0" collapsed="false"/>
    <row r="4" customFormat="false" ht="13.5" hidden="false" customHeight="false" outlineLevel="0" collapsed="false">
      <c r="B4" s="11" t="s">
        <v>1</v>
      </c>
      <c r="D4" s="12" t="e">
        <f aca="false">+#REF!</f>
        <v>#REF!</v>
      </c>
      <c r="E4" s="12"/>
      <c r="J4" s="13" t="s">
        <v>2</v>
      </c>
      <c r="K4" s="12" t="e">
        <f aca="false">+#REF!</f>
        <v>#REF!</v>
      </c>
      <c r="M4" s="14" t="s">
        <v>3</v>
      </c>
      <c r="N4" s="12" t="e">
        <f aca="false">+#REF!</f>
        <v>#REF!</v>
      </c>
      <c r="O4" s="15"/>
      <c r="U4" s="16"/>
      <c r="AF4" s="17"/>
    </row>
    <row r="5" customFormat="false" ht="13.5" hidden="false" customHeight="false" outlineLevel="0" collapsed="false">
      <c r="AF5" s="18"/>
    </row>
    <row r="6" customFormat="false" ht="13.5" hidden="false" customHeight="true" outlineLevel="0" collapsed="false">
      <c r="B6" s="19"/>
      <c r="C6" s="20"/>
      <c r="D6" s="20"/>
      <c r="E6" s="20"/>
      <c r="F6" s="21"/>
      <c r="G6" s="21"/>
      <c r="H6" s="21"/>
      <c r="I6" s="21"/>
      <c r="J6" s="22"/>
      <c r="K6" s="22"/>
      <c r="L6" s="22"/>
      <c r="M6" s="22"/>
      <c r="N6" s="22"/>
      <c r="O6" s="23"/>
      <c r="P6" s="24"/>
      <c r="Q6" s="17" t="s">
        <v>4</v>
      </c>
      <c r="AF6" s="25"/>
    </row>
    <row r="7" customFormat="false" ht="13.5" hidden="false" customHeight="true" outlineLevel="0" collapsed="false">
      <c r="B7" s="26" t="e">
        <f aca="false">+#REF!</f>
        <v>#REF!</v>
      </c>
      <c r="C7" s="26"/>
      <c r="D7" s="26"/>
      <c r="E7" s="27" t="e">
        <f aca="false">+#REF!</f>
        <v>#REF!</v>
      </c>
      <c r="F7" s="28"/>
      <c r="G7" s="28" t="e">
        <f aca="false">+#REF!</f>
        <v>#REF!</v>
      </c>
      <c r="H7" s="29"/>
      <c r="I7" s="29"/>
      <c r="J7" s="30" t="e">
        <f aca="false">+#REF!</f>
        <v>#REF!</v>
      </c>
      <c r="K7" s="24"/>
      <c r="L7" s="31" t="e">
        <f aca="false">+#REF!</f>
        <v>#REF!</v>
      </c>
      <c r="M7" s="31"/>
      <c r="N7" s="12" t="e">
        <f aca="false">+#REF!</f>
        <v>#REF!</v>
      </c>
      <c r="O7" s="32"/>
      <c r="P7" s="33" t="e">
        <f aca="false">IF(N7&gt;12,"ERROR!!!","")</f>
        <v>#REF!</v>
      </c>
      <c r="Q7" s="18" t="s">
        <v>5</v>
      </c>
      <c r="AF7" s="25"/>
    </row>
    <row r="8" customFormat="false" ht="13.5" hidden="false" customHeight="true" outlineLevel="0" collapsed="false">
      <c r="B8" s="34"/>
      <c r="C8" s="35"/>
      <c r="D8" s="35"/>
      <c r="E8" s="35"/>
      <c r="F8" s="36"/>
      <c r="G8" s="36"/>
      <c r="H8" s="36"/>
      <c r="I8" s="36"/>
      <c r="J8" s="37"/>
      <c r="K8" s="37"/>
      <c r="L8" s="37"/>
      <c r="M8" s="37"/>
      <c r="N8" s="37"/>
      <c r="O8" s="38"/>
      <c r="P8" s="24"/>
      <c r="Q8" s="39" t="e">
        <f aca="false">+#REF!</f>
        <v>#REF!</v>
      </c>
    </row>
    <row r="9" customFormat="false" ht="7.5" hidden="false" customHeight="true" outlineLevel="0" collapsed="false">
      <c r="B9" s="13"/>
      <c r="C9" s="13"/>
      <c r="D9" s="13"/>
      <c r="E9" s="13"/>
      <c r="F9" s="13"/>
      <c r="G9" s="13"/>
      <c r="H9" s="13"/>
      <c r="I9" s="13"/>
      <c r="U9" s="6"/>
    </row>
    <row r="10" customFormat="false" ht="1.5" hidden="false" customHeight="true" outlineLevel="0" collapsed="false">
      <c r="B10" s="13"/>
      <c r="C10" s="13"/>
      <c r="D10" s="13"/>
      <c r="E10" s="13"/>
      <c r="F10" s="13"/>
      <c r="G10" s="13"/>
      <c r="H10" s="13"/>
      <c r="I10" s="13"/>
    </row>
    <row r="11" customFormat="false" ht="13.5" hidden="false" customHeight="false" outlineLevel="0" collapsed="false">
      <c r="B11" s="40"/>
      <c r="C11" s="41"/>
      <c r="D11" s="41"/>
      <c r="E11" s="41"/>
      <c r="F11" s="41"/>
      <c r="G11" s="41"/>
      <c r="H11" s="42"/>
      <c r="I11" s="43"/>
      <c r="J11" s="44" t="e">
        <f aca="false">+#REF!</f>
        <v>#REF!</v>
      </c>
      <c r="K11" s="44"/>
      <c r="L11" s="44"/>
      <c r="M11" s="44"/>
      <c r="N11" s="44"/>
      <c r="O11" s="44"/>
      <c r="R11" s="45"/>
      <c r="U11" s="46"/>
    </row>
    <row r="12" customFormat="false" ht="13.5" hidden="false" customHeight="false" outlineLevel="0" collapsed="false">
      <c r="B12" s="26" t="e">
        <f aca="false">+#REF!</f>
        <v>#REF!</v>
      </c>
      <c r="C12" s="26"/>
      <c r="D12" s="26"/>
      <c r="E12" s="26"/>
      <c r="F12" s="43"/>
      <c r="G12" s="27" t="e">
        <f aca="false">+#REF!</f>
        <v>#REF!</v>
      </c>
      <c r="H12" s="47"/>
      <c r="I12" s="43"/>
      <c r="J12" s="48" t="e">
        <f aca="false">+#REF!</f>
        <v>#REF!</v>
      </c>
      <c r="K12" s="22"/>
      <c r="L12" s="49" t="e">
        <f aca="false">+#REF!</f>
        <v>#REF!</v>
      </c>
      <c r="M12" s="50" t="e">
        <f aca="false">+#REF!</f>
        <v>#REF!</v>
      </c>
      <c r="N12" s="50"/>
      <c r="O12" s="51"/>
      <c r="P12" s="52"/>
      <c r="Q12" s="53"/>
      <c r="R12" s="45"/>
      <c r="U12" s="54"/>
      <c r="V12" s="54"/>
      <c r="W12" s="54"/>
      <c r="X12" s="54"/>
      <c r="Y12" s="54"/>
      <c r="Z12" s="54"/>
    </row>
    <row r="13" customFormat="false" ht="13.5" hidden="false" customHeight="false" outlineLevel="0" collapsed="false">
      <c r="B13" s="55"/>
      <c r="C13" s="56"/>
      <c r="D13" s="56"/>
      <c r="E13" s="56"/>
      <c r="F13" s="56"/>
      <c r="G13" s="56"/>
      <c r="H13" s="57"/>
      <c r="I13" s="43"/>
      <c r="J13" s="58" t="e">
        <f aca="false">+#REF!</f>
        <v>#REF!</v>
      </c>
      <c r="K13" s="59"/>
      <c r="L13" s="60" t="e">
        <f aca="false">+#REF!</f>
        <v>#REF!</v>
      </c>
      <c r="M13" s="61" t="e">
        <f aca="false">+#REF!</f>
        <v>#REF!</v>
      </c>
      <c r="N13" s="61"/>
      <c r="O13" s="62"/>
      <c r="P13" s="52"/>
      <c r="Q13" s="53"/>
      <c r="U13" s="54"/>
      <c r="V13" s="54"/>
      <c r="W13" s="54"/>
      <c r="X13" s="54"/>
      <c r="Y13" s="54"/>
      <c r="Z13" s="54"/>
    </row>
    <row r="14" customFormat="false" ht="12.75" hidden="false" customHeight="false" outlineLevel="0" collapsed="false">
      <c r="B14" s="13"/>
      <c r="C14" s="13"/>
      <c r="D14" s="13"/>
      <c r="E14" s="13"/>
      <c r="F14" s="13"/>
      <c r="G14" s="13"/>
      <c r="H14" s="13"/>
      <c r="I14" s="13"/>
      <c r="M14" s="63"/>
      <c r="U14" s="46"/>
      <c r="V14" s="6"/>
      <c r="W14" s="6"/>
      <c r="X14" s="6"/>
      <c r="Y14" s="6"/>
    </row>
    <row r="15" customFormat="false" ht="12.75" hidden="true" customHeight="false" outlineLevel="0" collapsed="false">
      <c r="B15" s="1"/>
      <c r="C15" s="28"/>
      <c r="D15" s="1"/>
      <c r="E15" s="1"/>
      <c r="F15" s="1"/>
      <c r="G15" s="28"/>
      <c r="H15" s="28"/>
      <c r="I15" s="28"/>
      <c r="J15" s="24"/>
      <c r="U15" s="6"/>
      <c r="V15" s="6"/>
      <c r="W15" s="6"/>
      <c r="X15" s="6"/>
      <c r="Y15" s="6"/>
    </row>
    <row r="16" customFormat="false" ht="12.75" hidden="false" customHeight="false" outlineLevel="0" collapsed="false">
      <c r="B16" s="64" t="e">
        <f aca="false">+#REF!</f>
        <v>#REF!</v>
      </c>
      <c r="C16" s="64"/>
      <c r="D16" s="64"/>
      <c r="E16" s="64"/>
      <c r="F16" s="64"/>
      <c r="G16" s="64"/>
      <c r="H16" s="64"/>
      <c r="I16" s="64"/>
      <c r="J16" s="64"/>
      <c r="K16" s="29"/>
      <c r="L16" s="29"/>
      <c r="M16" s="29"/>
      <c r="N16" s="29"/>
      <c r="O16" s="29"/>
      <c r="P16" s="29"/>
      <c r="Q16" s="29"/>
      <c r="U16" s="65"/>
      <c r="V16" s="65"/>
      <c r="W16" s="65"/>
      <c r="X16" s="65"/>
      <c r="Y16" s="65"/>
      <c r="Z16" s="65"/>
    </row>
    <row r="17" customFormat="false" ht="12.75" hidden="false" customHeight="false" outlineLevel="0" collapsed="false">
      <c r="B17" s="66"/>
      <c r="C17" s="64" t="e">
        <f aca="false">+#REF!</f>
        <v>#REF!</v>
      </c>
      <c r="D17" s="64" t="e">
        <f aca="false">+#REF!</f>
        <v>#REF!</v>
      </c>
      <c r="E17" s="67" t="e">
        <f aca="false">+#REF!</f>
        <v>#REF!</v>
      </c>
      <c r="F17" s="64"/>
      <c r="G17" s="68" t="s">
        <v>6</v>
      </c>
      <c r="H17" s="69"/>
      <c r="I17" s="70"/>
      <c r="J17" s="71" t="e">
        <f aca="false">+#REF!</f>
        <v>#REF!</v>
      </c>
      <c r="L17" s="72" t="e">
        <f aca="false">+#REF!</f>
        <v>#REF!</v>
      </c>
      <c r="M17" s="73"/>
      <c r="N17" s="74" t="s">
        <v>7</v>
      </c>
      <c r="U17" s="65"/>
      <c r="V17" s="65"/>
      <c r="W17" s="65"/>
      <c r="X17" s="65"/>
      <c r="Y17" s="65"/>
      <c r="Z17" s="65"/>
    </row>
    <row r="18" customFormat="false" ht="12.75" hidden="false" customHeight="false" outlineLevel="0" collapsed="false">
      <c r="A18" s="14" t="e">
        <f aca="false">IF(#REF!=1,#REF!,"")</f>
        <v>#REF!</v>
      </c>
      <c r="B18" s="75" t="e">
        <f aca="false">IF(#REF!=1,#REF!,"")</f>
        <v>#REF!</v>
      </c>
      <c r="C18" s="76" t="e">
        <f aca="false">IF(#REF!=0,#REF!,"")</f>
        <v>#REF!</v>
      </c>
      <c r="D18" s="76" t="e">
        <f aca="false">IF(#REF!=0,#REF!,"")</f>
        <v>#REF!</v>
      </c>
      <c r="E18" s="77" t="e">
        <f aca="false">IF(#REF!=0,#REF!,"")</f>
        <v>#REF!</v>
      </c>
      <c r="F18" s="78"/>
      <c r="G18" s="79" t="e">
        <f aca="false">+#REF!+#REF!</f>
        <v>#REF!</v>
      </c>
      <c r="H18" s="80"/>
      <c r="I18" s="80"/>
      <c r="J18" s="81" t="e">
        <f aca="false">+#REF!</f>
        <v>#REF!</v>
      </c>
      <c r="L18" s="82" t="e">
        <f aca="false">+#REF!</f>
        <v>#REF!</v>
      </c>
      <c r="M18" s="29"/>
      <c r="N18" s="83" t="e">
        <f aca="false">+#REF!</f>
        <v>#REF!</v>
      </c>
      <c r="Q18" s="84"/>
      <c r="U18" s="54"/>
      <c r="V18" s="54"/>
      <c r="W18" s="54"/>
      <c r="X18" s="54"/>
      <c r="Y18" s="54"/>
      <c r="Z18" s="54"/>
      <c r="AA18" s="85"/>
    </row>
    <row r="19" customFormat="false" ht="12.75" hidden="false" customHeight="false" outlineLevel="0" collapsed="false">
      <c r="A19" s="14" t="e">
        <f aca="false">IF(#REF!=1,#REF!,"")</f>
        <v>#REF!</v>
      </c>
      <c r="B19" s="75" t="e">
        <f aca="false">IF(#REF!=1,#REF!,"")</f>
        <v>#REF!</v>
      </c>
      <c r="C19" s="76" t="e">
        <f aca="false">IF(#REF!=0,#REF!,"")</f>
        <v>#REF!</v>
      </c>
      <c r="D19" s="76" t="e">
        <f aca="false">IF(#REF!=0,#REF!,"")</f>
        <v>#REF!</v>
      </c>
      <c r="E19" s="77" t="e">
        <f aca="false">IF(#REF!=0,#REF!,"")</f>
        <v>#REF!</v>
      </c>
      <c r="F19" s="78"/>
      <c r="G19" s="79" t="e">
        <f aca="false">+#REF!+#REF!</f>
        <v>#REF!</v>
      </c>
      <c r="H19" s="80"/>
      <c r="I19" s="80"/>
      <c r="J19" s="81" t="e">
        <f aca="false">+#REF!</f>
        <v>#REF!</v>
      </c>
      <c r="L19" s="82" t="e">
        <f aca="false">+#REF!</f>
        <v>#REF!</v>
      </c>
      <c r="M19" s="86"/>
      <c r="N19" s="83" t="e">
        <f aca="false">+#REF!</f>
        <v>#REF!</v>
      </c>
      <c r="Q19" s="84"/>
      <c r="U19" s="54"/>
      <c r="V19" s="54"/>
      <c r="W19" s="54"/>
      <c r="X19" s="54"/>
      <c r="Y19" s="54"/>
      <c r="Z19" s="54"/>
      <c r="AA19" s="85"/>
    </row>
    <row r="20" customFormat="false" ht="12.75" hidden="false" customHeight="false" outlineLevel="0" collapsed="false">
      <c r="A20" s="14" t="e">
        <f aca="false">IF(#REF!=1,#REF!,"")</f>
        <v>#REF!</v>
      </c>
      <c r="B20" s="75" t="e">
        <f aca="false">IF(#REF!=1,#REF!,"")</f>
        <v>#REF!</v>
      </c>
      <c r="C20" s="76" t="e">
        <f aca="false">IF(#REF!=0,#REF!,"")</f>
        <v>#REF!</v>
      </c>
      <c r="D20" s="76" t="e">
        <f aca="false">IF(#REF!=0,#REF!,"")</f>
        <v>#REF!</v>
      </c>
      <c r="E20" s="77" t="e">
        <f aca="false">IF(#REF!=0,#REF!,"")</f>
        <v>#REF!</v>
      </c>
      <c r="F20" s="78"/>
      <c r="G20" s="79" t="e">
        <f aca="false">+#REF!+#REF!</f>
        <v>#REF!</v>
      </c>
      <c r="H20" s="80"/>
      <c r="I20" s="80"/>
      <c r="J20" s="81" t="e">
        <f aca="false">+#REF!</f>
        <v>#REF!</v>
      </c>
      <c r="L20" s="82" t="e">
        <f aca="false">+#REF!</f>
        <v>#REF!</v>
      </c>
      <c r="M20" s="86"/>
      <c r="N20" s="83" t="e">
        <f aca="false">+#REF!</f>
        <v>#REF!</v>
      </c>
      <c r="Q20" s="84"/>
      <c r="U20" s="65"/>
      <c r="V20" s="65"/>
      <c r="W20" s="65"/>
      <c r="X20" s="65"/>
      <c r="Y20" s="65"/>
      <c r="Z20" s="65"/>
    </row>
    <row r="21" customFormat="false" ht="12.75" hidden="false" customHeight="false" outlineLevel="0" collapsed="false">
      <c r="A21" s="14" t="e">
        <f aca="false">IF(#REF!=1,#REF!,"")</f>
        <v>#REF!</v>
      </c>
      <c r="B21" s="75" t="e">
        <f aca="false">IF(#REF!=1,#REF!,"")</f>
        <v>#REF!</v>
      </c>
      <c r="C21" s="76" t="e">
        <f aca="false">IF(#REF!=0,#REF!,"")</f>
        <v>#REF!</v>
      </c>
      <c r="D21" s="76" t="e">
        <f aca="false">IF(#REF!=0,#REF!,"")</f>
        <v>#REF!</v>
      </c>
      <c r="E21" s="77" t="e">
        <f aca="false">IF(#REF!=0,#REF!,"")</f>
        <v>#REF!</v>
      </c>
      <c r="F21" s="78"/>
      <c r="G21" s="79" t="e">
        <f aca="false">+#REF!+#REF!</f>
        <v>#REF!</v>
      </c>
      <c r="H21" s="80"/>
      <c r="I21" s="80"/>
      <c r="J21" s="81" t="e">
        <f aca="false">+#REF!</f>
        <v>#REF!</v>
      </c>
      <c r="L21" s="82" t="e">
        <f aca="false">+#REF!</f>
        <v>#REF!</v>
      </c>
      <c r="M21" s="86"/>
      <c r="N21" s="83" t="e">
        <f aca="false">+#REF!</f>
        <v>#REF!</v>
      </c>
      <c r="Q21" s="84"/>
      <c r="U21" s="65"/>
      <c r="V21" s="65"/>
      <c r="W21" s="65"/>
      <c r="X21" s="65"/>
      <c r="Y21" s="65"/>
      <c r="Z21" s="65"/>
    </row>
    <row r="22" customFormat="false" ht="12.75" hidden="false" customHeight="false" outlineLevel="0" collapsed="false">
      <c r="A22" s="14" t="e">
        <f aca="false">IF(#REF!=1,#REF!,"")</f>
        <v>#REF!</v>
      </c>
      <c r="B22" s="75" t="e">
        <f aca="false">IF(#REF!=1,#REF!,"")</f>
        <v>#REF!</v>
      </c>
      <c r="C22" s="76" t="e">
        <f aca="false">IF(#REF!=0,#REF!,"")</f>
        <v>#REF!</v>
      </c>
      <c r="D22" s="76" t="e">
        <f aca="false">IF(#REF!=0,#REF!,"")</f>
        <v>#REF!</v>
      </c>
      <c r="E22" s="77" t="e">
        <f aca="false">IF(#REF!=0,#REF!,"")</f>
        <v>#REF!</v>
      </c>
      <c r="F22" s="78"/>
      <c r="G22" s="79" t="e">
        <f aca="false">+#REF!+#REF!</f>
        <v>#REF!</v>
      </c>
      <c r="H22" s="80"/>
      <c r="I22" s="80"/>
      <c r="J22" s="81" t="e">
        <f aca="false">+#REF!</f>
        <v>#REF!</v>
      </c>
      <c r="L22" s="82" t="e">
        <f aca="false">+#REF!</f>
        <v>#REF!</v>
      </c>
      <c r="M22" s="86"/>
      <c r="N22" s="83" t="e">
        <f aca="false">+#REF!</f>
        <v>#REF!</v>
      </c>
      <c r="Q22" s="84"/>
      <c r="U22" s="65"/>
      <c r="V22" s="65"/>
      <c r="W22" s="65"/>
      <c r="X22" s="65"/>
      <c r="Y22" s="65"/>
      <c r="Z22" s="65"/>
    </row>
    <row r="23" customFormat="false" ht="12.75" hidden="false" customHeight="false" outlineLevel="0" collapsed="false">
      <c r="A23" s="14" t="e">
        <f aca="false">IF(#REF!=1,#REF!,"")</f>
        <v>#REF!</v>
      </c>
      <c r="B23" s="75" t="e">
        <f aca="false">IF(#REF!=1,#REF!,"")</f>
        <v>#REF!</v>
      </c>
      <c r="C23" s="76" t="e">
        <f aca="false">IF(#REF!=0,#REF!,"")</f>
        <v>#REF!</v>
      </c>
      <c r="D23" s="76" t="e">
        <f aca="false">IF(#REF!=0,#REF!,"")</f>
        <v>#REF!</v>
      </c>
      <c r="E23" s="77" t="e">
        <f aca="false">IF(#REF!=0,#REF!,"")</f>
        <v>#REF!</v>
      </c>
      <c r="F23" s="79"/>
      <c r="G23" s="79" t="e">
        <f aca="false">+#REF!+#REF!</f>
        <v>#REF!</v>
      </c>
      <c r="H23" s="80"/>
      <c r="I23" s="80"/>
      <c r="J23" s="81" t="e">
        <f aca="false">+#REF!</f>
        <v>#REF!</v>
      </c>
      <c r="L23" s="82" t="e">
        <f aca="false">+#REF!</f>
        <v>#REF!</v>
      </c>
      <c r="M23" s="86"/>
      <c r="N23" s="83" t="e">
        <f aca="false">+#REF!</f>
        <v>#REF!</v>
      </c>
      <c r="Q23" s="84"/>
      <c r="U23" s="65"/>
      <c r="V23" s="65"/>
      <c r="W23" s="65"/>
      <c r="X23" s="65"/>
      <c r="Y23" s="65"/>
      <c r="Z23" s="65"/>
    </row>
    <row r="24" customFormat="false" ht="12.75" hidden="false" customHeight="false" outlineLevel="0" collapsed="false">
      <c r="A24" s="14" t="e">
        <f aca="false">IF(#REF!=1,#REF!,"")</f>
        <v>#REF!</v>
      </c>
      <c r="B24" s="75" t="e">
        <f aca="false">IF(#REF!=1,#REF!,"")</f>
        <v>#REF!</v>
      </c>
      <c r="C24" s="76" t="e">
        <f aca="false">IF(#REF!=0,#REF!,"")</f>
        <v>#REF!</v>
      </c>
      <c r="D24" s="76" t="e">
        <f aca="false">IF(#REF!=0,#REF!,"")</f>
        <v>#REF!</v>
      </c>
      <c r="E24" s="77" t="e">
        <f aca="false">IF(#REF!=0,#REF!,"")</f>
        <v>#REF!</v>
      </c>
      <c r="F24" s="79"/>
      <c r="G24" s="79" t="e">
        <f aca="false">+#REF!+#REF!</f>
        <v>#REF!</v>
      </c>
      <c r="H24" s="80"/>
      <c r="I24" s="80"/>
      <c r="J24" s="81" t="e">
        <f aca="false">+#REF!</f>
        <v>#REF!</v>
      </c>
      <c r="L24" s="82" t="e">
        <f aca="false">+#REF!</f>
        <v>#REF!</v>
      </c>
      <c r="M24" s="86"/>
      <c r="N24" s="83" t="e">
        <f aca="false">+#REF!</f>
        <v>#REF!</v>
      </c>
      <c r="Q24" s="84"/>
      <c r="U24" s="65"/>
      <c r="V24" s="65"/>
      <c r="W24" s="65"/>
      <c r="X24" s="65"/>
      <c r="Y24" s="65"/>
      <c r="Z24" s="65"/>
    </row>
    <row r="25" customFormat="false" ht="12.75" hidden="false" customHeight="false" outlineLevel="0" collapsed="false">
      <c r="A25" s="14" t="e">
        <f aca="false">IF(#REF!=1,#REF!,"")</f>
        <v>#REF!</v>
      </c>
      <c r="B25" s="75" t="e">
        <f aca="false">IF(#REF!=1,#REF!,"")</f>
        <v>#REF!</v>
      </c>
      <c r="C25" s="76" t="e">
        <f aca="false">IF(#REF!=0,#REF!,"")</f>
        <v>#REF!</v>
      </c>
      <c r="D25" s="76" t="e">
        <f aca="false">IF(#REF!=0,#REF!,"")</f>
        <v>#REF!</v>
      </c>
      <c r="E25" s="77" t="e">
        <f aca="false">IF(#REF!=0,#REF!,"")</f>
        <v>#REF!</v>
      </c>
      <c r="F25" s="79"/>
      <c r="G25" s="79" t="e">
        <f aca="false">+#REF!+#REF!</f>
        <v>#REF!</v>
      </c>
      <c r="H25" s="80"/>
      <c r="I25" s="80"/>
      <c r="J25" s="81" t="e">
        <f aca="false">+#REF!</f>
        <v>#REF!</v>
      </c>
      <c r="L25" s="82" t="e">
        <f aca="false">+#REF!</f>
        <v>#REF!</v>
      </c>
      <c r="M25" s="29"/>
      <c r="N25" s="83" t="e">
        <f aca="false">+#REF!</f>
        <v>#REF!</v>
      </c>
      <c r="Q25" s="84"/>
      <c r="U25" s="65"/>
      <c r="V25" s="65"/>
      <c r="W25" s="65"/>
      <c r="X25" s="65"/>
      <c r="Y25" s="65"/>
      <c r="Z25" s="65"/>
    </row>
    <row r="26" customFormat="false" ht="12.75" hidden="false" customHeight="false" outlineLevel="0" collapsed="false">
      <c r="A26" s="14" t="e">
        <f aca="false">IF(#REF!=1,#REF!,"")</f>
        <v>#REF!</v>
      </c>
      <c r="B26" s="75" t="e">
        <f aca="false">IF(#REF!=1,#REF!,"")</f>
        <v>#REF!</v>
      </c>
      <c r="C26" s="76" t="e">
        <f aca="false">IF(#REF!=0,#REF!,"")</f>
        <v>#REF!</v>
      </c>
      <c r="D26" s="76" t="e">
        <f aca="false">IF(#REF!=0,#REF!,"")</f>
        <v>#REF!</v>
      </c>
      <c r="E26" s="77" t="e">
        <f aca="false">IF(#REF!=0,#REF!,"")</f>
        <v>#REF!</v>
      </c>
      <c r="F26" s="79"/>
      <c r="G26" s="79" t="e">
        <f aca="false">+#REF!+#REF!</f>
        <v>#REF!</v>
      </c>
      <c r="H26" s="80"/>
      <c r="I26" s="80"/>
      <c r="J26" s="81" t="e">
        <f aca="false">+#REF!</f>
        <v>#REF!</v>
      </c>
      <c r="L26" s="82" t="e">
        <f aca="false">+#REF!</f>
        <v>#REF!</v>
      </c>
      <c r="M26" s="86"/>
      <c r="N26" s="83" t="e">
        <f aca="false">+#REF!</f>
        <v>#REF!</v>
      </c>
      <c r="Q26" s="84"/>
      <c r="U26" s="65"/>
      <c r="V26" s="65"/>
      <c r="W26" s="65"/>
      <c r="X26" s="65"/>
      <c r="Y26" s="65"/>
      <c r="Z26" s="65"/>
    </row>
    <row r="27" customFormat="false" ht="12.75" hidden="false" customHeight="false" outlineLevel="0" collapsed="false">
      <c r="A27" s="14" t="e">
        <f aca="false">IF(#REF!=1,#REF!,"")</f>
        <v>#REF!</v>
      </c>
      <c r="B27" s="75" t="e">
        <f aca="false">IF(#REF!=1,#REF!,"")</f>
        <v>#REF!</v>
      </c>
      <c r="C27" s="76" t="e">
        <f aca="false">IF(#REF!=0,#REF!,"")</f>
        <v>#REF!</v>
      </c>
      <c r="D27" s="76" t="e">
        <f aca="false">IF(#REF!=0,#REF!,"")</f>
        <v>#REF!</v>
      </c>
      <c r="E27" s="77" t="e">
        <f aca="false">IF(#REF!=0,#REF!,"")</f>
        <v>#REF!</v>
      </c>
      <c r="F27" s="79"/>
      <c r="G27" s="79" t="e">
        <f aca="false">+#REF!+#REF!</f>
        <v>#REF!</v>
      </c>
      <c r="H27" s="80"/>
      <c r="I27" s="80"/>
      <c r="J27" s="81" t="e">
        <f aca="false">+#REF!</f>
        <v>#REF!</v>
      </c>
      <c r="L27" s="82" t="e">
        <f aca="false">+#REF!</f>
        <v>#REF!</v>
      </c>
      <c r="M27" s="86"/>
      <c r="N27" s="83" t="e">
        <f aca="false">+#REF!</f>
        <v>#REF!</v>
      </c>
      <c r="Q27" s="84"/>
    </row>
    <row r="28" customFormat="false" ht="12.75" hidden="false" customHeight="false" outlineLevel="0" collapsed="false">
      <c r="A28" s="14" t="e">
        <f aca="false">IF(#REF!=1,#REF!,"")</f>
        <v>#REF!</v>
      </c>
      <c r="B28" s="75" t="e">
        <f aca="false">IF(#REF!=1,#REF!,"")</f>
        <v>#REF!</v>
      </c>
      <c r="C28" s="76" t="e">
        <f aca="false">IF(#REF!=0,#REF!,"")</f>
        <v>#REF!</v>
      </c>
      <c r="D28" s="76" t="e">
        <f aca="false">IF(#REF!=0,#REF!,"")</f>
        <v>#REF!</v>
      </c>
      <c r="E28" s="77" t="e">
        <f aca="false">IF(#REF!=0,#REF!,"")</f>
        <v>#REF!</v>
      </c>
      <c r="F28" s="79"/>
      <c r="G28" s="79" t="e">
        <f aca="false">+#REF!+#REF!</f>
        <v>#REF!</v>
      </c>
      <c r="H28" s="80"/>
      <c r="I28" s="80"/>
      <c r="J28" s="81" t="e">
        <f aca="false">+#REF!</f>
        <v>#REF!</v>
      </c>
      <c r="L28" s="82" t="e">
        <f aca="false">+#REF!</f>
        <v>#REF!</v>
      </c>
      <c r="M28" s="86"/>
      <c r="N28" s="83" t="e">
        <f aca="false">+#REF!</f>
        <v>#REF!</v>
      </c>
      <c r="Q28" s="84"/>
    </row>
    <row r="29" customFormat="false" ht="12.75" hidden="false" customHeight="false" outlineLevel="0" collapsed="false">
      <c r="A29" s="14" t="e">
        <f aca="false">IF(#REF!=1,#REF!,"")</f>
        <v>#REF!</v>
      </c>
      <c r="B29" s="75" t="e">
        <f aca="false">IF(#REF!=1,#REF!,"")</f>
        <v>#REF!</v>
      </c>
      <c r="C29" s="76" t="e">
        <f aca="false">IF(#REF!=0,#REF!,"")</f>
        <v>#REF!</v>
      </c>
      <c r="D29" s="76" t="e">
        <f aca="false">IF(#REF!=0,#REF!,"")</f>
        <v>#REF!</v>
      </c>
      <c r="E29" s="77" t="e">
        <f aca="false">IF(#REF!=0,#REF!,"")</f>
        <v>#REF!</v>
      </c>
      <c r="F29" s="79"/>
      <c r="G29" s="79" t="e">
        <f aca="false">+#REF!+#REF!</f>
        <v>#REF!</v>
      </c>
      <c r="H29" s="80"/>
      <c r="I29" s="80"/>
      <c r="J29" s="81" t="e">
        <f aca="false">+#REF!</f>
        <v>#REF!</v>
      </c>
      <c r="L29" s="82" t="e">
        <f aca="false">+#REF!</f>
        <v>#REF!</v>
      </c>
      <c r="M29" s="86"/>
      <c r="N29" s="83" t="e">
        <f aca="false">+#REF!</f>
        <v>#REF!</v>
      </c>
      <c r="Q29" s="84"/>
      <c r="U29" s="87"/>
      <c r="V29" s="87"/>
      <c r="W29" s="87"/>
      <c r="X29" s="87"/>
      <c r="Y29" s="87"/>
      <c r="Z29" s="87"/>
    </row>
    <row r="30" customFormat="false" ht="12.75" hidden="false" customHeight="false" outlineLevel="0" collapsed="false">
      <c r="A30" s="14" t="e">
        <f aca="false">IF(#REF!=1,#REF!,"")</f>
        <v>#REF!</v>
      </c>
      <c r="B30" s="75" t="e">
        <f aca="false">IF(#REF!=1,#REF!,"")</f>
        <v>#REF!</v>
      </c>
      <c r="C30" s="76" t="e">
        <f aca="false">IF(#REF!=0,#REF!,"")</f>
        <v>#REF!</v>
      </c>
      <c r="D30" s="76" t="e">
        <f aca="false">IF(#REF!=0,#REF!,"")</f>
        <v>#REF!</v>
      </c>
      <c r="E30" s="77" t="e">
        <f aca="false">IF(#REF!=0,#REF!,"")</f>
        <v>#REF!</v>
      </c>
      <c r="F30" s="79"/>
      <c r="G30" s="79" t="e">
        <f aca="false">+#REF!+#REF!</f>
        <v>#REF!</v>
      </c>
      <c r="H30" s="80"/>
      <c r="I30" s="80"/>
      <c r="J30" s="81" t="e">
        <f aca="false">+#REF!</f>
        <v>#REF!</v>
      </c>
      <c r="L30" s="82" t="e">
        <f aca="false">+#REF!</f>
        <v>#REF!</v>
      </c>
      <c r="M30" s="86"/>
      <c r="N30" s="83" t="e">
        <f aca="false">+#REF!</f>
        <v>#REF!</v>
      </c>
      <c r="Q30" s="84"/>
      <c r="U30" s="87"/>
      <c r="V30" s="87"/>
      <c r="W30" s="87"/>
      <c r="X30" s="87"/>
      <c r="Y30" s="87"/>
      <c r="Z30" s="87"/>
    </row>
    <row r="31" customFormat="false" ht="12.75" hidden="false" customHeight="false" outlineLevel="0" collapsed="false">
      <c r="A31" s="14" t="e">
        <f aca="false">IF(#REF!=1,#REF!,"")</f>
        <v>#REF!</v>
      </c>
      <c r="B31" s="75" t="e">
        <f aca="false">IF(#REF!=1,#REF!,"")</f>
        <v>#REF!</v>
      </c>
      <c r="C31" s="76" t="e">
        <f aca="false">IF(#REF!=0,#REF!,"")</f>
        <v>#REF!</v>
      </c>
      <c r="D31" s="76" t="e">
        <f aca="false">IF(#REF!=0,#REF!,"")</f>
        <v>#REF!</v>
      </c>
      <c r="E31" s="77" t="e">
        <f aca="false">IF(#REF!=0,#REF!,"")</f>
        <v>#REF!</v>
      </c>
      <c r="F31" s="79"/>
      <c r="G31" s="79" t="e">
        <f aca="false">+#REF!+#REF!</f>
        <v>#REF!</v>
      </c>
      <c r="H31" s="88"/>
      <c r="I31" s="88"/>
      <c r="J31" s="81" t="e">
        <f aca="false">+#REF!</f>
        <v>#REF!</v>
      </c>
      <c r="L31" s="82" t="e">
        <f aca="false">+#REF!</f>
        <v>#REF!</v>
      </c>
      <c r="M31" s="86"/>
      <c r="N31" s="83" t="e">
        <f aca="false">+#REF!</f>
        <v>#REF!</v>
      </c>
      <c r="Q31" s="84"/>
      <c r="U31" s="87"/>
      <c r="V31" s="87"/>
      <c r="W31" s="87"/>
      <c r="X31" s="87"/>
      <c r="Y31" s="87"/>
      <c r="Z31" s="87"/>
    </row>
    <row r="32" customFormat="false" ht="12.75" hidden="false" customHeight="true" outlineLevel="0" collapsed="false">
      <c r="A32" s="14" t="e">
        <f aca="false">IF(#REF!=1,#REF!,"")</f>
        <v>#REF!</v>
      </c>
      <c r="B32" s="75" t="e">
        <f aca="false">IF(#REF!=1,#REF!,"")</f>
        <v>#REF!</v>
      </c>
      <c r="C32" s="76" t="e">
        <f aca="false">IF(#REF!=0,#REF!,"")</f>
        <v>#REF!</v>
      </c>
      <c r="D32" s="76" t="e">
        <f aca="false">IF(#REF!=0,#REF!,"")</f>
        <v>#REF!</v>
      </c>
      <c r="E32" s="77" t="e">
        <f aca="false">IF(#REF!=0,#REF!,"")</f>
        <v>#REF!</v>
      </c>
      <c r="F32" s="79"/>
      <c r="G32" s="79" t="e">
        <f aca="false">+#REF!+#REF!</f>
        <v>#REF!</v>
      </c>
      <c r="H32" s="88"/>
      <c r="I32" s="88"/>
      <c r="J32" s="81" t="e">
        <f aca="false">+#REF!</f>
        <v>#REF!</v>
      </c>
      <c r="L32" s="82" t="e">
        <f aca="false">+#REF!</f>
        <v>#REF!</v>
      </c>
      <c r="M32" s="29"/>
      <c r="N32" s="83" t="e">
        <f aca="false">+#REF!</f>
        <v>#REF!</v>
      </c>
      <c r="Q32" s="84"/>
      <c r="U32" s="87"/>
      <c r="V32" s="87"/>
      <c r="W32" s="87"/>
      <c r="X32" s="87"/>
      <c r="Y32" s="87"/>
      <c r="Z32" s="87"/>
    </row>
    <row r="33" customFormat="false" ht="12.75" hidden="false" customHeight="false" outlineLevel="0" collapsed="false">
      <c r="A33" s="14" t="e">
        <f aca="false">IF(#REF!=1,#REF!,"")</f>
        <v>#REF!</v>
      </c>
      <c r="B33" s="75" t="e">
        <f aca="false">IF(#REF!=1,#REF!,"")</f>
        <v>#REF!</v>
      </c>
      <c r="C33" s="76" t="e">
        <f aca="false">IF(#REF!=0,#REF!,"")</f>
        <v>#REF!</v>
      </c>
      <c r="D33" s="76" t="e">
        <f aca="false">IF(#REF!=0,#REF!,"")</f>
        <v>#REF!</v>
      </c>
      <c r="E33" s="77" t="e">
        <f aca="false">IF(#REF!=0,#REF!,"")</f>
        <v>#REF!</v>
      </c>
      <c r="F33" s="79"/>
      <c r="G33" s="79" t="e">
        <f aca="false">+#REF!+#REF!</f>
        <v>#REF!</v>
      </c>
      <c r="H33" s="88"/>
      <c r="I33" s="88"/>
      <c r="J33" s="81" t="e">
        <f aca="false">+#REF!</f>
        <v>#REF!</v>
      </c>
      <c r="L33" s="82" t="e">
        <f aca="false">+#REF!</f>
        <v>#REF!</v>
      </c>
      <c r="M33" s="86"/>
      <c r="N33" s="83" t="e">
        <f aca="false">+#REF!</f>
        <v>#REF!</v>
      </c>
      <c r="Q33" s="84"/>
      <c r="U33" s="87"/>
      <c r="V33" s="87"/>
      <c r="W33" s="87"/>
      <c r="X33" s="87"/>
      <c r="Y33" s="87"/>
      <c r="Z33" s="87"/>
    </row>
    <row r="34" customFormat="false" ht="12.75" hidden="false" customHeight="false" outlineLevel="0" collapsed="false">
      <c r="A34" s="14" t="e">
        <f aca="false">IF(#REF!=1,#REF!,"")</f>
        <v>#REF!</v>
      </c>
      <c r="B34" s="75" t="e">
        <f aca="false">IF(#REF!=1,#REF!,"")</f>
        <v>#REF!</v>
      </c>
      <c r="C34" s="89" t="e">
        <f aca="false">IF(#REF!=0,#REF!,"")</f>
        <v>#REF!</v>
      </c>
      <c r="D34" s="89" t="e">
        <f aca="false">IF(#REF!=0,#REF!,"")</f>
        <v>#REF!</v>
      </c>
      <c r="E34" s="90" t="e">
        <f aca="false">IF(#REF!=0,#REF!,"")</f>
        <v>#REF!</v>
      </c>
      <c r="F34" s="79"/>
      <c r="G34" s="91" t="e">
        <f aca="false">+#REF!+#REF!</f>
        <v>#REF!</v>
      </c>
      <c r="H34" s="88"/>
      <c r="I34" s="88"/>
      <c r="J34" s="92" t="e">
        <f aca="false">+#REF!</f>
        <v>#REF!</v>
      </c>
      <c r="L34" s="93" t="e">
        <f aca="false">+#REF!</f>
        <v>#REF!</v>
      </c>
      <c r="M34" s="94"/>
      <c r="N34" s="83" t="e">
        <f aca="false">+#REF!</f>
        <v>#REF!</v>
      </c>
      <c r="Q34" s="84"/>
      <c r="U34" s="95"/>
      <c r="V34" s="95"/>
      <c r="W34" s="95"/>
      <c r="X34" s="95"/>
      <c r="Y34" s="95"/>
      <c r="Z34" s="95"/>
    </row>
    <row r="35" customFormat="false" ht="12.75" hidden="false" customHeight="false" outlineLevel="0" collapsed="false">
      <c r="B35" s="96"/>
      <c r="C35" s="97" t="e">
        <f aca="false">SUM(C18:C34)</f>
        <v>#REF!</v>
      </c>
      <c r="D35" s="97" t="e">
        <f aca="false">SUM(D18:D34)</f>
        <v>#REF!</v>
      </c>
      <c r="E35" s="98" t="e">
        <f aca="false">SUM(E18:E34)</f>
        <v>#REF!</v>
      </c>
      <c r="F35" s="99"/>
      <c r="G35" s="100" t="e">
        <f aca="false">+#REF!</f>
        <v>#REF!</v>
      </c>
      <c r="H35" s="99"/>
      <c r="I35" s="99"/>
      <c r="J35" s="92" t="e">
        <f aca="false">+#REF!</f>
        <v>#REF!</v>
      </c>
      <c r="L35" s="101" t="e">
        <f aca="false">+#REF!</f>
        <v>#REF!</v>
      </c>
      <c r="M35" s="102" t="s">
        <v>8</v>
      </c>
      <c r="N35" s="103" t="e">
        <f aca="false">+L35/#REF!</f>
        <v>#REF!</v>
      </c>
      <c r="U35" s="95"/>
      <c r="V35" s="95"/>
      <c r="W35" s="95"/>
      <c r="X35" s="95"/>
      <c r="Y35" s="95"/>
      <c r="Z35" s="95"/>
    </row>
    <row r="36" customFormat="false" ht="13.5" hidden="false" customHeight="false" outlineLevel="0" collapsed="false">
      <c r="E36" s="104"/>
      <c r="F36" s="104"/>
      <c r="G36" s="104"/>
      <c r="U36" s="105"/>
      <c r="V36" s="105"/>
      <c r="W36" s="105"/>
      <c r="X36" s="105"/>
      <c r="Y36" s="105"/>
      <c r="Z36" s="105"/>
    </row>
    <row r="37" customFormat="false" ht="13.5" hidden="true" customHeight="true" outlineLevel="0" collapsed="false">
      <c r="U37" s="105"/>
      <c r="V37" s="105"/>
      <c r="W37" s="105"/>
      <c r="X37" s="105"/>
      <c r="Y37" s="105"/>
      <c r="Z37" s="105"/>
    </row>
    <row r="38" customFormat="false" ht="13.5" hidden="false" customHeight="false" outlineLevel="0" collapsed="false">
      <c r="B38" s="106" t="e">
        <f aca="false">+#REF!</f>
        <v>#REF!</v>
      </c>
      <c r="C38" s="106"/>
      <c r="D38" s="106"/>
      <c r="E38" s="106"/>
      <c r="F38" s="106"/>
      <c r="G38" s="106"/>
      <c r="H38" s="106"/>
      <c r="I38" s="106"/>
      <c r="J38" s="107" t="e">
        <f aca="false">+#REF!</f>
        <v>#REF!</v>
      </c>
      <c r="K38" s="28"/>
      <c r="L38" s="28"/>
      <c r="M38" s="28"/>
      <c r="N38" s="28"/>
      <c r="O38" s="28"/>
      <c r="P38" s="28"/>
      <c r="Q38" s="28"/>
      <c r="U38" s="105"/>
      <c r="V38" s="105"/>
      <c r="W38" s="105"/>
      <c r="X38" s="105"/>
      <c r="Y38" s="105"/>
      <c r="Z38" s="105"/>
    </row>
    <row r="39" customFormat="false" ht="13.5" hidden="false" customHeight="false" outlineLevel="0" collapsed="false">
      <c r="B39" s="108"/>
      <c r="C39" s="88"/>
      <c r="D39" s="109" t="s">
        <v>9</v>
      </c>
      <c r="E39" s="109" t="s">
        <v>10</v>
      </c>
      <c r="F39" s="88"/>
      <c r="G39" s="88"/>
      <c r="H39" s="88"/>
      <c r="I39" s="88"/>
      <c r="J39" s="110"/>
    </row>
    <row r="40" customFormat="false" ht="12.75" hidden="false" customHeight="false" outlineLevel="0" collapsed="false">
      <c r="B40" s="111" t="s">
        <v>11</v>
      </c>
      <c r="C40" s="88"/>
      <c r="D40" s="79" t="e">
        <f aca="false">+#REF!</f>
        <v>#REF!</v>
      </c>
      <c r="E40" s="79" t="e">
        <f aca="false">+#REF!</f>
        <v>#REF!</v>
      </c>
      <c r="F40" s="88"/>
      <c r="G40" s="112" t="e">
        <f aca="false">+#REF!</f>
        <v>#REF!</v>
      </c>
      <c r="H40" s="88"/>
      <c r="I40" s="88"/>
      <c r="J40" s="110"/>
    </row>
    <row r="41" customFormat="false" ht="13.5" hidden="false" customHeight="false" outlineLevel="0" collapsed="false">
      <c r="B41" s="111" t="s">
        <v>12</v>
      </c>
      <c r="C41" s="88"/>
      <c r="D41" s="79" t="e">
        <f aca="false">+#REF!</f>
        <v>#REF!</v>
      </c>
      <c r="E41" s="79" t="e">
        <f aca="false">+#REF!</f>
        <v>#REF!</v>
      </c>
      <c r="F41" s="88"/>
      <c r="G41" s="113" t="e">
        <f aca="false">+#REF!</f>
        <v>#REF!</v>
      </c>
      <c r="H41" s="88"/>
      <c r="I41" s="88"/>
      <c r="J41" s="110"/>
    </row>
    <row r="42" customFormat="false" ht="7.5" hidden="false" customHeight="true" outlineLevel="0" collapsed="false">
      <c r="B42" s="114"/>
      <c r="C42" s="115"/>
      <c r="D42" s="115"/>
      <c r="E42" s="115"/>
      <c r="F42" s="115"/>
      <c r="G42" s="115"/>
      <c r="H42" s="115"/>
      <c r="I42" s="115"/>
      <c r="J42" s="116"/>
    </row>
    <row r="43" customFormat="false" ht="13.5" hidden="false" customHeight="false" outlineLevel="0" collapsed="false">
      <c r="A43" s="59"/>
      <c r="B43" s="117"/>
      <c r="C43" s="115"/>
      <c r="D43" s="115"/>
      <c r="E43" s="115"/>
      <c r="F43" s="115"/>
      <c r="G43" s="115"/>
      <c r="H43" s="115"/>
      <c r="I43" s="115"/>
      <c r="J43" s="59"/>
      <c r="K43" s="59"/>
      <c r="L43" s="59"/>
      <c r="M43" s="59"/>
      <c r="N43" s="59"/>
      <c r="O43" s="59"/>
      <c r="P43" s="59"/>
      <c r="Q43" s="59"/>
    </row>
    <row r="44" customFormat="false" ht="13.5" hidden="false" customHeight="false" outlineLevel="0" collapsed="false"/>
    <row r="45" customFormat="false" ht="15.75" hidden="false" customHeight="false" outlineLevel="0" collapsed="false">
      <c r="B45" s="118" t="s">
        <v>13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</row>
    <row r="46" customFormat="false" ht="12.75" hidden="false" customHeight="false" outlineLevel="0" collapsed="false">
      <c r="C46" s="119"/>
      <c r="D46" s="120"/>
      <c r="E46" s="120"/>
      <c r="F46" s="120"/>
      <c r="G46" s="119"/>
      <c r="H46" s="119"/>
      <c r="I46" s="121"/>
    </row>
    <row r="47" customFormat="false" ht="12.75" hidden="false" customHeight="false" outlineLevel="0" collapsed="false">
      <c r="B47" s="122" t="s">
        <v>14</v>
      </c>
      <c r="C47" s="122"/>
      <c r="D47" s="122"/>
      <c r="E47" s="122"/>
      <c r="F47" s="122"/>
      <c r="G47" s="122"/>
      <c r="H47" s="122"/>
      <c r="I47" s="122"/>
      <c r="J47" s="122"/>
      <c r="K47" s="119"/>
      <c r="O47" s="119"/>
      <c r="P47" s="119"/>
      <c r="Q47" s="119"/>
    </row>
    <row r="48" customFormat="false" ht="12.75" hidden="false" customHeight="false" outlineLevel="0" collapsed="false">
      <c r="B48" s="123"/>
      <c r="C48" s="124" t="s">
        <v>15</v>
      </c>
      <c r="D48" s="124" t="s">
        <v>16</v>
      </c>
      <c r="E48" s="124" t="s">
        <v>17</v>
      </c>
      <c r="F48" s="124"/>
      <c r="G48" s="125" t="s">
        <v>6</v>
      </c>
      <c r="H48" s="126"/>
      <c r="I48" s="124"/>
      <c r="J48" s="124" t="s">
        <v>18</v>
      </c>
      <c r="L48" s="72" t="e">
        <f aca="false">+L17</f>
        <v>#REF!</v>
      </c>
      <c r="M48" s="73"/>
      <c r="N48" s="74" t="s">
        <v>7</v>
      </c>
    </row>
    <row r="49" customFormat="false" ht="12.75" hidden="false" customHeight="false" outlineLevel="0" collapsed="false">
      <c r="A49" s="2" t="e">
        <f aca="false">+#REF!</f>
        <v>#REF!</v>
      </c>
      <c r="B49" s="127" t="e">
        <f aca="false">+#REF!</f>
        <v>#REF!</v>
      </c>
      <c r="C49" s="128" t="e">
        <f aca="false">IF(#REF!=0,"",#REF!)</f>
        <v>#REF!</v>
      </c>
      <c r="D49" s="128" t="e">
        <f aca="false">IF(#REF!=0,"",#REF!)</f>
        <v>#REF!</v>
      </c>
      <c r="E49" s="128" t="e">
        <f aca="false">IF(#REF!=0,"",#REF!)</f>
        <v>#REF!</v>
      </c>
      <c r="F49" s="128"/>
      <c r="G49" s="128" t="e">
        <f aca="false">+#REF!+#REF!</f>
        <v>#REF!</v>
      </c>
      <c r="H49" s="129"/>
      <c r="I49" s="129"/>
      <c r="J49" s="130" t="e">
        <f aca="false">IF(#REF!=0,"",#REF!)</f>
        <v>#REF!</v>
      </c>
      <c r="L49" s="82" t="e">
        <f aca="false">+#REF!</f>
        <v>#REF!</v>
      </c>
      <c r="M49" s="29"/>
      <c r="N49" s="83" t="e">
        <f aca="false">+#REF!</f>
        <v>#REF!</v>
      </c>
      <c r="Q49" s="131"/>
    </row>
    <row r="50" customFormat="false" ht="12.75" hidden="false" customHeight="false" outlineLevel="0" collapsed="false">
      <c r="A50" s="2" t="e">
        <f aca="false">+#REF!</f>
        <v>#REF!</v>
      </c>
      <c r="B50" s="75" t="e">
        <f aca="false">+#REF!</f>
        <v>#REF!</v>
      </c>
      <c r="C50" s="79" t="e">
        <f aca="false">IF(#REF!=0,"",#REF!)</f>
        <v>#REF!</v>
      </c>
      <c r="D50" s="79" t="e">
        <f aca="false">IF(#REF!=0,"",#REF!)</f>
        <v>#REF!</v>
      </c>
      <c r="E50" s="79" t="e">
        <f aca="false">IF(#REF!=0,"",#REF!)</f>
        <v>#REF!</v>
      </c>
      <c r="F50" s="79"/>
      <c r="G50" s="79" t="e">
        <f aca="false">+#REF!+#REF!</f>
        <v>#REF!</v>
      </c>
      <c r="H50" s="132"/>
      <c r="I50" s="132"/>
      <c r="J50" s="133" t="e">
        <f aca="false">IF(#REF!=0,"",#REF!)</f>
        <v>#REF!</v>
      </c>
      <c r="L50" s="82" t="e">
        <f aca="false">+#REF!</f>
        <v>#REF!</v>
      </c>
      <c r="M50" s="86"/>
      <c r="N50" s="83" t="e">
        <f aca="false">+#REF!</f>
        <v>#REF!</v>
      </c>
      <c r="Q50" s="131"/>
    </row>
    <row r="51" customFormat="false" ht="12.75" hidden="false" customHeight="false" outlineLevel="0" collapsed="false">
      <c r="A51" s="2" t="e">
        <f aca="false">+#REF!</f>
        <v>#REF!</v>
      </c>
      <c r="B51" s="75" t="e">
        <f aca="false">+#REF!</f>
        <v>#REF!</v>
      </c>
      <c r="C51" s="79" t="e">
        <f aca="false">IF(#REF!=0,"",#REF!)</f>
        <v>#REF!</v>
      </c>
      <c r="D51" s="79" t="e">
        <f aca="false">IF(#REF!=0,"",#REF!)</f>
        <v>#REF!</v>
      </c>
      <c r="E51" s="79" t="e">
        <f aca="false">IF(#REF!=0,"",#REF!)</f>
        <v>#REF!</v>
      </c>
      <c r="F51" s="79"/>
      <c r="G51" s="79" t="e">
        <f aca="false">+#REF!+#REF!</f>
        <v>#REF!</v>
      </c>
      <c r="H51" s="132"/>
      <c r="I51" s="132"/>
      <c r="J51" s="133" t="e">
        <f aca="false">IF(#REF!=0,"",#REF!)</f>
        <v>#REF!</v>
      </c>
      <c r="L51" s="82" t="e">
        <f aca="false">+#REF!</f>
        <v>#REF!</v>
      </c>
      <c r="M51" s="86"/>
      <c r="N51" s="83" t="e">
        <f aca="false">+#REF!</f>
        <v>#REF!</v>
      </c>
      <c r="Q51" s="131"/>
    </row>
    <row r="52" customFormat="false" ht="12.75" hidden="false" customHeight="false" outlineLevel="0" collapsed="false">
      <c r="A52" s="2" t="e">
        <f aca="false">+#REF!</f>
        <v>#REF!</v>
      </c>
      <c r="B52" s="75" t="e">
        <f aca="false">+#REF!</f>
        <v>#REF!</v>
      </c>
      <c r="C52" s="79" t="e">
        <f aca="false">IF(#REF!=0,"",#REF!)</f>
        <v>#REF!</v>
      </c>
      <c r="D52" s="79" t="e">
        <f aca="false">IF(#REF!=0,"",#REF!)</f>
        <v>#REF!</v>
      </c>
      <c r="E52" s="79" t="e">
        <f aca="false">IF(#REF!=0,"",#REF!)</f>
        <v>#REF!</v>
      </c>
      <c r="F52" s="79"/>
      <c r="G52" s="79" t="e">
        <f aca="false">+#REF!+#REF!</f>
        <v>#REF!</v>
      </c>
      <c r="H52" s="132"/>
      <c r="I52" s="132"/>
      <c r="J52" s="133" t="e">
        <f aca="false">IF(#REF!=0,"",#REF!)</f>
        <v>#REF!</v>
      </c>
      <c r="L52" s="82" t="e">
        <f aca="false">+#REF!</f>
        <v>#REF!</v>
      </c>
      <c r="M52" s="86"/>
      <c r="N52" s="83" t="e">
        <f aca="false">+#REF!</f>
        <v>#REF!</v>
      </c>
      <c r="Q52" s="131"/>
    </row>
    <row r="53" customFormat="false" ht="12.75" hidden="false" customHeight="false" outlineLevel="0" collapsed="false">
      <c r="A53" s="2" t="e">
        <f aca="false">+#REF!</f>
        <v>#REF!</v>
      </c>
      <c r="B53" s="75" t="e">
        <f aca="false">+#REF!</f>
        <v>#REF!</v>
      </c>
      <c r="C53" s="79" t="e">
        <f aca="false">IF(#REF!=0,"",#REF!)</f>
        <v>#REF!</v>
      </c>
      <c r="D53" s="79" t="e">
        <f aca="false">IF(#REF!=0,"",#REF!)</f>
        <v>#REF!</v>
      </c>
      <c r="E53" s="79" t="e">
        <f aca="false">IF(#REF!=0,"",#REF!)</f>
        <v>#REF!</v>
      </c>
      <c r="F53" s="79"/>
      <c r="G53" s="79" t="e">
        <f aca="false">+#REF!+#REF!</f>
        <v>#REF!</v>
      </c>
      <c r="H53" s="132"/>
      <c r="I53" s="132"/>
      <c r="J53" s="133" t="e">
        <f aca="false">IF(#REF!=0,"",#REF!)</f>
        <v>#REF!</v>
      </c>
      <c r="L53" s="82" t="e">
        <f aca="false">+#REF!</f>
        <v>#REF!</v>
      </c>
      <c r="M53" s="86"/>
      <c r="N53" s="83" t="e">
        <f aca="false">+#REF!</f>
        <v>#REF!</v>
      </c>
      <c r="Q53" s="131"/>
    </row>
    <row r="54" customFormat="false" ht="12.75" hidden="false" customHeight="false" outlineLevel="0" collapsed="false">
      <c r="A54" s="2" t="e">
        <f aca="false">+#REF!</f>
        <v>#REF!</v>
      </c>
      <c r="B54" s="75" t="e">
        <f aca="false">+#REF!</f>
        <v>#REF!</v>
      </c>
      <c r="C54" s="79" t="e">
        <f aca="false">IF(#REF!=0,"",#REF!)</f>
        <v>#REF!</v>
      </c>
      <c r="D54" s="79" t="e">
        <f aca="false">IF(#REF!=0,"",#REF!)</f>
        <v>#REF!</v>
      </c>
      <c r="E54" s="79" t="e">
        <f aca="false">IF(#REF!=0,"",#REF!)</f>
        <v>#REF!</v>
      </c>
      <c r="F54" s="79"/>
      <c r="G54" s="79" t="e">
        <f aca="false">+#REF!+#REF!</f>
        <v>#REF!</v>
      </c>
      <c r="H54" s="132"/>
      <c r="I54" s="132"/>
      <c r="J54" s="133" t="e">
        <f aca="false">IF(#REF!=0,"",#REF!)</f>
        <v>#REF!</v>
      </c>
      <c r="L54" s="82" t="e">
        <f aca="false">+#REF!</f>
        <v>#REF!</v>
      </c>
      <c r="M54" s="86"/>
      <c r="N54" s="83" t="e">
        <f aca="false">+#REF!</f>
        <v>#REF!</v>
      </c>
      <c r="Q54" s="131"/>
    </row>
    <row r="55" customFormat="false" ht="12.75" hidden="false" customHeight="false" outlineLevel="0" collapsed="false">
      <c r="A55" s="2" t="e">
        <f aca="false">+#REF!</f>
        <v>#REF!</v>
      </c>
      <c r="B55" s="75" t="e">
        <f aca="false">+#REF!</f>
        <v>#REF!</v>
      </c>
      <c r="C55" s="79" t="e">
        <f aca="false">IF(#REF!=0,"",#REF!)</f>
        <v>#REF!</v>
      </c>
      <c r="D55" s="79" t="e">
        <f aca="false">IF(#REF!=0,"",#REF!)</f>
        <v>#REF!</v>
      </c>
      <c r="E55" s="79" t="e">
        <f aca="false">IF(#REF!=0,"",#REF!)</f>
        <v>#REF!</v>
      </c>
      <c r="F55" s="79"/>
      <c r="G55" s="79" t="e">
        <f aca="false">+#REF!+#REF!</f>
        <v>#REF!</v>
      </c>
      <c r="H55" s="132"/>
      <c r="I55" s="132"/>
      <c r="J55" s="133" t="e">
        <f aca="false">IF(#REF!=0,"",#REF!)</f>
        <v>#REF!</v>
      </c>
      <c r="L55" s="82" t="e">
        <f aca="false">+#REF!</f>
        <v>#REF!</v>
      </c>
      <c r="M55" s="86"/>
      <c r="N55" s="83" t="e">
        <f aca="false">+#REF!</f>
        <v>#REF!</v>
      </c>
      <c r="Q55" s="131"/>
    </row>
    <row r="56" customFormat="false" ht="12.75" hidden="false" customHeight="false" outlineLevel="0" collapsed="false">
      <c r="A56" s="2" t="e">
        <f aca="false">+#REF!</f>
        <v>#REF!</v>
      </c>
      <c r="B56" s="75" t="e">
        <f aca="false">+#REF!</f>
        <v>#REF!</v>
      </c>
      <c r="C56" s="79" t="e">
        <f aca="false">IF(#REF!=0,"",#REF!)</f>
        <v>#REF!</v>
      </c>
      <c r="D56" s="79" t="e">
        <f aca="false">IF(#REF!=0,"",#REF!)</f>
        <v>#REF!</v>
      </c>
      <c r="E56" s="79" t="e">
        <f aca="false">IF(#REF!=0,"",#REF!)</f>
        <v>#REF!</v>
      </c>
      <c r="F56" s="79"/>
      <c r="G56" s="79" t="e">
        <f aca="false">+#REF!+#REF!</f>
        <v>#REF!</v>
      </c>
      <c r="H56" s="132"/>
      <c r="I56" s="132"/>
      <c r="J56" s="133" t="e">
        <f aca="false">IF(#REF!=0,"",#REF!)</f>
        <v>#REF!</v>
      </c>
      <c r="L56" s="82" t="e">
        <f aca="false">+#REF!</f>
        <v>#REF!</v>
      </c>
      <c r="M56" s="29"/>
      <c r="N56" s="83" t="e">
        <f aca="false">+#REF!</f>
        <v>#REF!</v>
      </c>
      <c r="Q56" s="131"/>
    </row>
    <row r="57" customFormat="false" ht="12.75" hidden="false" customHeight="false" outlineLevel="0" collapsed="false">
      <c r="A57" s="2" t="e">
        <f aca="false">+#REF!</f>
        <v>#REF!</v>
      </c>
      <c r="B57" s="75" t="e">
        <f aca="false">+#REF!</f>
        <v>#REF!</v>
      </c>
      <c r="C57" s="79" t="e">
        <f aca="false">IF(#REF!=0,"",#REF!)</f>
        <v>#REF!</v>
      </c>
      <c r="D57" s="79" t="e">
        <f aca="false">IF(#REF!=0,"",#REF!)</f>
        <v>#REF!</v>
      </c>
      <c r="E57" s="79" t="e">
        <f aca="false">IF(#REF!=0,"",#REF!)</f>
        <v>#REF!</v>
      </c>
      <c r="F57" s="79"/>
      <c r="G57" s="79" t="e">
        <f aca="false">+#REF!+#REF!</f>
        <v>#REF!</v>
      </c>
      <c r="H57" s="132"/>
      <c r="I57" s="132"/>
      <c r="J57" s="133" t="e">
        <f aca="false">IF(#REF!=0,"",#REF!)</f>
        <v>#REF!</v>
      </c>
      <c r="L57" s="82" t="e">
        <f aca="false">+#REF!</f>
        <v>#REF!</v>
      </c>
      <c r="M57" s="86"/>
      <c r="N57" s="83" t="e">
        <f aca="false">+#REF!</f>
        <v>#REF!</v>
      </c>
      <c r="Q57" s="131"/>
    </row>
    <row r="58" customFormat="false" ht="12.75" hidden="false" customHeight="false" outlineLevel="0" collapsed="false">
      <c r="A58" s="2" t="e">
        <f aca="false">+#REF!</f>
        <v>#REF!</v>
      </c>
      <c r="B58" s="75" t="e">
        <f aca="false">+#REF!</f>
        <v>#REF!</v>
      </c>
      <c r="C58" s="79" t="e">
        <f aca="false">IF(#REF!=0,"",#REF!)</f>
        <v>#REF!</v>
      </c>
      <c r="D58" s="79" t="e">
        <f aca="false">IF(#REF!=0,"",#REF!)</f>
        <v>#REF!</v>
      </c>
      <c r="E58" s="79" t="e">
        <f aca="false">IF(#REF!=0,"",#REF!)</f>
        <v>#REF!</v>
      </c>
      <c r="F58" s="79"/>
      <c r="G58" s="79" t="e">
        <f aca="false">+#REF!+#REF!</f>
        <v>#REF!</v>
      </c>
      <c r="H58" s="132"/>
      <c r="I58" s="132"/>
      <c r="J58" s="133" t="e">
        <f aca="false">IF(#REF!=0,"",#REF!)</f>
        <v>#REF!</v>
      </c>
      <c r="L58" s="82" t="e">
        <f aca="false">+#REF!</f>
        <v>#REF!</v>
      </c>
      <c r="M58" s="86"/>
      <c r="N58" s="83" t="e">
        <f aca="false">+#REF!</f>
        <v>#REF!</v>
      </c>
      <c r="Q58" s="131"/>
    </row>
    <row r="59" customFormat="false" ht="12.75" hidden="false" customHeight="false" outlineLevel="0" collapsed="false">
      <c r="A59" s="2" t="e">
        <f aca="false">+#REF!</f>
        <v>#REF!</v>
      </c>
      <c r="B59" s="75" t="e">
        <f aca="false">+#REF!</f>
        <v>#REF!</v>
      </c>
      <c r="C59" s="79" t="e">
        <f aca="false">IF(#REF!=0,"",#REF!)</f>
        <v>#REF!</v>
      </c>
      <c r="D59" s="79" t="e">
        <f aca="false">IF(#REF!=0,"",#REF!)</f>
        <v>#REF!</v>
      </c>
      <c r="E59" s="79" t="e">
        <f aca="false">IF(#REF!=0,"",#REF!)</f>
        <v>#REF!</v>
      </c>
      <c r="F59" s="79"/>
      <c r="G59" s="79" t="e">
        <f aca="false">+#REF!+#REF!</f>
        <v>#REF!</v>
      </c>
      <c r="H59" s="132"/>
      <c r="I59" s="132"/>
      <c r="J59" s="133" t="e">
        <f aca="false">IF(#REF!=0,"",#REF!)</f>
        <v>#REF!</v>
      </c>
      <c r="L59" s="82" t="e">
        <f aca="false">+#REF!</f>
        <v>#REF!</v>
      </c>
      <c r="M59" s="86"/>
      <c r="N59" s="83" t="e">
        <f aca="false">+#REF!</f>
        <v>#REF!</v>
      </c>
      <c r="Q59" s="131"/>
    </row>
    <row r="60" customFormat="false" ht="12.75" hidden="false" customHeight="false" outlineLevel="0" collapsed="false">
      <c r="A60" s="2" t="e">
        <f aca="false">+#REF!</f>
        <v>#REF!</v>
      </c>
      <c r="B60" s="75" t="e">
        <f aca="false">+#REF!</f>
        <v>#REF!</v>
      </c>
      <c r="C60" s="79" t="e">
        <f aca="false">IF(#REF!=0,"",#REF!)</f>
        <v>#REF!</v>
      </c>
      <c r="D60" s="79" t="e">
        <f aca="false">IF(#REF!=0,"",#REF!)</f>
        <v>#REF!</v>
      </c>
      <c r="E60" s="79" t="e">
        <f aca="false">IF(#REF!=0,"",#REF!)</f>
        <v>#REF!</v>
      </c>
      <c r="F60" s="79"/>
      <c r="G60" s="79" t="e">
        <f aca="false">+#REF!+#REF!</f>
        <v>#REF!</v>
      </c>
      <c r="H60" s="132"/>
      <c r="I60" s="132"/>
      <c r="J60" s="133" t="e">
        <f aca="false">IF(#REF!=0,"",#REF!)</f>
        <v>#REF!</v>
      </c>
      <c r="L60" s="82" t="e">
        <f aca="false">+#REF!</f>
        <v>#REF!</v>
      </c>
      <c r="M60" s="86"/>
      <c r="N60" s="83" t="e">
        <f aca="false">+#REF!</f>
        <v>#REF!</v>
      </c>
      <c r="Q60" s="131"/>
    </row>
    <row r="61" customFormat="false" ht="12.75" hidden="false" customHeight="false" outlineLevel="0" collapsed="false">
      <c r="A61" s="2" t="e">
        <f aca="false">+#REF!</f>
        <v>#REF!</v>
      </c>
      <c r="B61" s="75" t="e">
        <f aca="false">+#REF!</f>
        <v>#REF!</v>
      </c>
      <c r="C61" s="79" t="e">
        <f aca="false">IF(#REF!=0,"",#REF!)</f>
        <v>#REF!</v>
      </c>
      <c r="D61" s="79" t="e">
        <f aca="false">IF(#REF!=0,"",#REF!)</f>
        <v>#REF!</v>
      </c>
      <c r="E61" s="79" t="e">
        <f aca="false">IF(#REF!=0,"",#REF!)</f>
        <v>#REF!</v>
      </c>
      <c r="F61" s="79"/>
      <c r="G61" s="79" t="e">
        <f aca="false">+#REF!+#REF!</f>
        <v>#REF!</v>
      </c>
      <c r="H61" s="132"/>
      <c r="I61" s="132"/>
      <c r="J61" s="133" t="e">
        <f aca="false">IF(#REF!=0,"",#REF!)</f>
        <v>#REF!</v>
      </c>
      <c r="L61" s="82" t="e">
        <f aca="false">+#REF!</f>
        <v>#REF!</v>
      </c>
      <c r="M61" s="86"/>
      <c r="N61" s="83" t="e">
        <f aca="false">+#REF!</f>
        <v>#REF!</v>
      </c>
      <c r="Q61" s="131"/>
    </row>
    <row r="62" customFormat="false" ht="12.75" hidden="false" customHeight="false" outlineLevel="0" collapsed="false">
      <c r="A62" s="2" t="e">
        <f aca="false">+#REF!</f>
        <v>#REF!</v>
      </c>
      <c r="B62" s="75" t="e">
        <f aca="false">+#REF!</f>
        <v>#REF!</v>
      </c>
      <c r="C62" s="79" t="e">
        <f aca="false">IF(#REF!=0,"",#REF!)</f>
        <v>#REF!</v>
      </c>
      <c r="D62" s="79" t="e">
        <f aca="false">IF(#REF!=0,"",#REF!)</f>
        <v>#REF!</v>
      </c>
      <c r="E62" s="79" t="e">
        <f aca="false">IF(#REF!=0,"",#REF!)</f>
        <v>#REF!</v>
      </c>
      <c r="F62" s="79"/>
      <c r="G62" s="79" t="e">
        <f aca="false">+#REF!+#REF!</f>
        <v>#REF!</v>
      </c>
      <c r="H62" s="132"/>
      <c r="I62" s="132"/>
      <c r="J62" s="133" t="e">
        <f aca="false">IF(#REF!=0,"",#REF!)</f>
        <v>#REF!</v>
      </c>
      <c r="L62" s="82" t="e">
        <f aca="false">+#REF!</f>
        <v>#REF!</v>
      </c>
      <c r="M62" s="86"/>
      <c r="N62" s="83" t="e">
        <f aca="false">+#REF!</f>
        <v>#REF!</v>
      </c>
      <c r="Q62" s="131"/>
    </row>
    <row r="63" customFormat="false" ht="12.75" hidden="false" customHeight="false" outlineLevel="0" collapsed="false">
      <c r="A63" s="2" t="e">
        <f aca="false">+#REF!</f>
        <v>#REF!</v>
      </c>
      <c r="B63" s="75" t="e">
        <f aca="false">+#REF!</f>
        <v>#REF!</v>
      </c>
      <c r="C63" s="79" t="e">
        <f aca="false">IF(#REF!=0,"",#REF!)</f>
        <v>#REF!</v>
      </c>
      <c r="D63" s="79" t="e">
        <f aca="false">IF(#REF!=0,"",#REF!)</f>
        <v>#REF!</v>
      </c>
      <c r="E63" s="79" t="e">
        <f aca="false">IF(#REF!=0,"",#REF!)</f>
        <v>#REF!</v>
      </c>
      <c r="F63" s="79"/>
      <c r="G63" s="79" t="e">
        <f aca="false">+#REF!+#REF!</f>
        <v>#REF!</v>
      </c>
      <c r="H63" s="132"/>
      <c r="I63" s="132"/>
      <c r="J63" s="133" t="e">
        <f aca="false">IF(#REF!=0,"",#REF!)</f>
        <v>#REF!</v>
      </c>
      <c r="L63" s="82" t="e">
        <f aca="false">+#REF!</f>
        <v>#REF!</v>
      </c>
      <c r="M63" s="29"/>
      <c r="N63" s="83" t="e">
        <f aca="false">+#REF!</f>
        <v>#REF!</v>
      </c>
      <c r="Q63" s="131"/>
    </row>
    <row r="64" customFormat="false" ht="12.75" hidden="false" customHeight="false" outlineLevel="0" collapsed="false">
      <c r="A64" s="2" t="e">
        <f aca="false">+#REF!</f>
        <v>#REF!</v>
      </c>
      <c r="B64" s="75" t="e">
        <f aca="false">+#REF!</f>
        <v>#REF!</v>
      </c>
      <c r="C64" s="79" t="e">
        <f aca="false">IF(#REF!=0,"",#REF!)</f>
        <v>#REF!</v>
      </c>
      <c r="D64" s="79" t="e">
        <f aca="false">IF(#REF!=0,"",#REF!)</f>
        <v>#REF!</v>
      </c>
      <c r="E64" s="79" t="e">
        <f aca="false">IF(#REF!=0,"",#REF!)</f>
        <v>#REF!</v>
      </c>
      <c r="F64" s="79"/>
      <c r="G64" s="79" t="e">
        <f aca="false">+#REF!+#REF!</f>
        <v>#REF!</v>
      </c>
      <c r="H64" s="132"/>
      <c r="I64" s="132"/>
      <c r="J64" s="133" t="e">
        <f aca="false">IF(#REF!=0,"",#REF!)</f>
        <v>#REF!</v>
      </c>
      <c r="L64" s="82" t="e">
        <f aca="false">+#REF!</f>
        <v>#REF!</v>
      </c>
      <c r="M64" s="86"/>
      <c r="N64" s="83" t="e">
        <f aca="false">+#REF!</f>
        <v>#REF!</v>
      </c>
      <c r="Q64" s="131"/>
    </row>
    <row r="65" customFormat="false" ht="12.75" hidden="false" customHeight="false" outlineLevel="0" collapsed="false">
      <c r="A65" s="2" t="e">
        <f aca="false">+#REF!</f>
        <v>#REF!</v>
      </c>
      <c r="B65" s="75" t="e">
        <f aca="false">+#REF!</f>
        <v>#REF!</v>
      </c>
      <c r="C65" s="91" t="e">
        <f aca="false">IF(#REF!=0,"",#REF!)</f>
        <v>#REF!</v>
      </c>
      <c r="D65" s="91" t="e">
        <f aca="false">IF(#REF!=0,"",#REF!)</f>
        <v>#REF!</v>
      </c>
      <c r="E65" s="91" t="e">
        <f aca="false">IF(#REF!=0,"",#REF!)</f>
        <v>#REF!</v>
      </c>
      <c r="F65" s="79"/>
      <c r="G65" s="91" t="e">
        <f aca="false">+#REF!+#REF!</f>
        <v>#REF!</v>
      </c>
      <c r="H65" s="132"/>
      <c r="I65" s="132"/>
      <c r="J65" s="134" t="e">
        <f aca="false">IF(#REF!=0,"",#REF!)</f>
        <v>#REF!</v>
      </c>
      <c r="L65" s="82" t="e">
        <f aca="false">+#REF!</f>
        <v>#REF!</v>
      </c>
      <c r="M65" s="94"/>
      <c r="N65" s="83" t="e">
        <f aca="false">+#REF!</f>
        <v>#REF!</v>
      </c>
      <c r="Q65" s="131"/>
    </row>
    <row r="66" customFormat="false" ht="12.75" hidden="false" customHeight="false" outlineLevel="0" collapsed="false">
      <c r="B66" s="135"/>
      <c r="C66" s="100" t="e">
        <f aca="false">SUM(C49:C65)</f>
        <v>#REF!</v>
      </c>
      <c r="D66" s="100" t="e">
        <f aca="false">SUM(D49:D65)</f>
        <v>#REF!</v>
      </c>
      <c r="E66" s="136" t="e">
        <f aca="false">SUM(E49:E65)</f>
        <v>#REF!</v>
      </c>
      <c r="F66" s="91"/>
      <c r="G66" s="100" t="e">
        <f aca="false">+#REF!</f>
        <v>#REF!</v>
      </c>
      <c r="H66" s="99"/>
      <c r="I66" s="99"/>
      <c r="J66" s="137" t="e">
        <f aca="false">SUM(J49:J65)</f>
        <v>#REF!</v>
      </c>
      <c r="L66" s="101" t="e">
        <f aca="false">+#REF!</f>
        <v>#REF!</v>
      </c>
      <c r="M66" s="102" t="s">
        <v>8</v>
      </c>
      <c r="N66" s="103" t="e">
        <f aca="false">+L66/#REF!</f>
        <v>#REF!</v>
      </c>
    </row>
    <row r="67" customFormat="false" ht="12.75" hidden="false" customHeight="false" outlineLevel="0" collapsed="false">
      <c r="B67" s="138"/>
      <c r="C67" s="78"/>
      <c r="D67" s="78"/>
      <c r="E67" s="139"/>
      <c r="F67" s="79"/>
      <c r="G67" s="78"/>
      <c r="H67" s="88"/>
      <c r="I67" s="88"/>
      <c r="J67" s="78"/>
      <c r="L67" s="140"/>
      <c r="M67" s="141"/>
      <c r="N67" s="142"/>
    </row>
    <row r="68" customFormat="false" ht="12.75" hidden="false" customHeight="false" outlineLevel="0" collapsed="false">
      <c r="B68" s="1"/>
      <c r="C68" s="143" t="s">
        <v>19</v>
      </c>
      <c r="D68" s="143"/>
      <c r="E68" s="143"/>
      <c r="F68" s="143"/>
      <c r="G68" s="143"/>
      <c r="H68" s="143"/>
      <c r="I68" s="143"/>
      <c r="J68" s="143"/>
    </row>
    <row r="69" customFormat="false" ht="12.75" hidden="false" customHeight="false" outlineLevel="0" collapsed="false">
      <c r="B69" s="1"/>
      <c r="C69" s="144" t="e">
        <f aca="false">+#REF!</f>
        <v>#REF!</v>
      </c>
      <c r="D69" s="145" t="e">
        <f aca="false">+#REF!</f>
        <v>#REF!</v>
      </c>
      <c r="E69" s="146" t="e">
        <f aca="false">+#REF!</f>
        <v>#REF!</v>
      </c>
      <c r="F69" s="146"/>
      <c r="G69" s="145" t="e">
        <f aca="false">+#REF!</f>
        <v>#REF!</v>
      </c>
      <c r="H69" s="147"/>
      <c r="I69" s="145"/>
      <c r="J69" s="148" t="e">
        <f aca="false">+#REF!</f>
        <v>#REF!</v>
      </c>
    </row>
    <row r="70" customFormat="false" ht="12.75" hidden="false" customHeight="false" outlineLevel="0" collapsed="false">
      <c r="B70" s="1"/>
      <c r="C70" s="149" t="e">
        <f aca="false">+#REF!</f>
        <v>#REF!</v>
      </c>
      <c r="D70" s="142" t="e">
        <f aca="false">+#REF!</f>
        <v>#REF!</v>
      </c>
      <c r="E70" s="150" t="e">
        <f aca="false">+#REF!</f>
        <v>#REF!</v>
      </c>
      <c r="F70" s="150"/>
      <c r="G70" s="142" t="e">
        <f aca="false">+#REF!</f>
        <v>#REF!</v>
      </c>
      <c r="H70" s="24"/>
      <c r="I70" s="24"/>
      <c r="J70" s="151" t="e">
        <f aca="false">+#REF!</f>
        <v>#REF!</v>
      </c>
    </row>
    <row r="71" customFormat="false" ht="12.75" hidden="false" customHeight="false" outlineLevel="0" collapsed="false">
      <c r="B71" s="1"/>
      <c r="C71" s="149" t="e">
        <f aca="false">+#REF!</f>
        <v>#REF!</v>
      </c>
      <c r="D71" s="142" t="e">
        <f aca="false">+#REF!</f>
        <v>#REF!</v>
      </c>
      <c r="E71" s="150" t="e">
        <f aca="false">+#REF!</f>
        <v>#REF!</v>
      </c>
      <c r="F71" s="150"/>
      <c r="G71" s="142" t="e">
        <f aca="false">+#REF!</f>
        <v>#REF!</v>
      </c>
      <c r="H71" s="24"/>
      <c r="I71" s="24"/>
      <c r="J71" s="151" t="e">
        <f aca="false">+#REF!</f>
        <v>#REF!</v>
      </c>
    </row>
    <row r="72" customFormat="false" ht="12.75" hidden="false" customHeight="false" outlineLevel="0" collapsed="false">
      <c r="B72" s="1"/>
      <c r="C72" s="149" t="e">
        <f aca="false">+#REF!</f>
        <v>#REF!</v>
      </c>
      <c r="D72" s="142" t="e">
        <f aca="false">+#REF!</f>
        <v>#REF!</v>
      </c>
      <c r="E72" s="150" t="e">
        <f aca="false">+#REF!</f>
        <v>#REF!</v>
      </c>
      <c r="F72" s="150"/>
      <c r="G72" s="142" t="e">
        <f aca="false">+#REF!</f>
        <v>#REF!</v>
      </c>
      <c r="H72" s="24"/>
      <c r="I72" s="24"/>
      <c r="J72" s="151" t="e">
        <f aca="false">+#REF!</f>
        <v>#REF!</v>
      </c>
    </row>
    <row r="73" customFormat="false" ht="12.75" hidden="false" customHeight="false" outlineLevel="0" collapsed="false">
      <c r="C73" s="149" t="e">
        <f aca="false">+#REF!</f>
        <v>#REF!</v>
      </c>
      <c r="D73" s="142" t="e">
        <f aca="false">+#REF!</f>
        <v>#REF!</v>
      </c>
      <c r="E73" s="150" t="e">
        <f aca="false">+#REF!</f>
        <v>#REF!</v>
      </c>
      <c r="F73" s="150"/>
      <c r="G73" s="142" t="e">
        <f aca="false">+#REF!</f>
        <v>#REF!</v>
      </c>
      <c r="H73" s="88"/>
      <c r="I73" s="88"/>
      <c r="J73" s="151" t="e">
        <f aca="false">+#REF!</f>
        <v>#REF!</v>
      </c>
    </row>
    <row r="74" customFormat="false" ht="12.75" hidden="false" customHeight="false" outlineLevel="0" collapsed="false">
      <c r="C74" s="149" t="e">
        <f aca="false">+#REF!</f>
        <v>#REF!</v>
      </c>
      <c r="D74" s="142" t="e">
        <f aca="false">+#REF!</f>
        <v>#REF!</v>
      </c>
      <c r="E74" s="150" t="e">
        <f aca="false">+#REF!</f>
        <v>#REF!</v>
      </c>
      <c r="F74" s="150"/>
      <c r="G74" s="142" t="e">
        <f aca="false">+#REF!</f>
        <v>#REF!</v>
      </c>
      <c r="H74" s="88"/>
      <c r="I74" s="88"/>
      <c r="J74" s="151" t="e">
        <f aca="false">+#REF!</f>
        <v>#REF!</v>
      </c>
    </row>
    <row r="75" customFormat="false" ht="12.75" hidden="false" customHeight="false" outlineLevel="0" collapsed="false">
      <c r="C75" s="149" t="e">
        <f aca="false">+#REF!</f>
        <v>#REF!</v>
      </c>
      <c r="D75" s="142" t="e">
        <f aca="false">+#REF!</f>
        <v>#REF!</v>
      </c>
      <c r="E75" s="150" t="e">
        <f aca="false">+#REF!</f>
        <v>#REF!</v>
      </c>
      <c r="F75" s="150"/>
      <c r="G75" s="142" t="e">
        <f aca="false">+#REF!</f>
        <v>#REF!</v>
      </c>
      <c r="H75" s="88"/>
      <c r="I75" s="88"/>
      <c r="J75" s="151" t="e">
        <f aca="false">+#REF!</f>
        <v>#REF!</v>
      </c>
    </row>
    <row r="76" customFormat="false" ht="12.75" hidden="false" customHeight="false" outlineLevel="0" collapsed="false">
      <c r="C76" s="149" t="e">
        <f aca="false">+#REF!</f>
        <v>#REF!</v>
      </c>
      <c r="D76" s="142" t="e">
        <f aca="false">+#REF!</f>
        <v>#REF!</v>
      </c>
      <c r="E76" s="150" t="e">
        <f aca="false">+#REF!</f>
        <v>#REF!</v>
      </c>
      <c r="F76" s="150"/>
      <c r="G76" s="142" t="e">
        <f aca="false">+#REF!</f>
        <v>#REF!</v>
      </c>
      <c r="H76" s="88"/>
      <c r="I76" s="88"/>
      <c r="J76" s="151" t="e">
        <f aca="false">+#REF!</f>
        <v>#REF!</v>
      </c>
    </row>
    <row r="77" customFormat="false" ht="12.75" hidden="false" customHeight="false" outlineLevel="0" collapsed="false">
      <c r="C77" s="149" t="e">
        <f aca="false">+#REF!</f>
        <v>#REF!</v>
      </c>
      <c r="D77" s="142" t="e">
        <f aca="false">+#REF!</f>
        <v>#REF!</v>
      </c>
      <c r="E77" s="150" t="e">
        <f aca="false">+#REF!</f>
        <v>#REF!</v>
      </c>
      <c r="F77" s="150"/>
      <c r="G77" s="142" t="e">
        <f aca="false">+#REF!</f>
        <v>#REF!</v>
      </c>
      <c r="H77" s="88"/>
      <c r="I77" s="88"/>
      <c r="J77" s="151" t="e">
        <f aca="false">+#REF!</f>
        <v>#REF!</v>
      </c>
    </row>
    <row r="78" customFormat="false" ht="12.75" hidden="false" customHeight="false" outlineLevel="0" collapsed="false">
      <c r="C78" s="149" t="e">
        <f aca="false">+#REF!</f>
        <v>#REF!</v>
      </c>
      <c r="D78" s="142" t="e">
        <f aca="false">+#REF!</f>
        <v>#REF!</v>
      </c>
      <c r="E78" s="150" t="e">
        <f aca="false">+#REF!</f>
        <v>#REF!</v>
      </c>
      <c r="F78" s="150"/>
      <c r="G78" s="142" t="e">
        <f aca="false">+#REF!</f>
        <v>#REF!</v>
      </c>
      <c r="H78" s="88"/>
      <c r="I78" s="88"/>
      <c r="J78" s="151" t="e">
        <f aca="false">+#REF!</f>
        <v>#REF!</v>
      </c>
    </row>
    <row r="79" customFormat="false" ht="12.75" hidden="false" customHeight="false" outlineLevel="0" collapsed="false">
      <c r="C79" s="149" t="e">
        <f aca="false">+#REF!</f>
        <v>#REF!</v>
      </c>
      <c r="D79" s="142" t="e">
        <f aca="false">+#REF!</f>
        <v>#REF!</v>
      </c>
      <c r="E79" s="150" t="e">
        <f aca="false">+#REF!</f>
        <v>#REF!</v>
      </c>
      <c r="F79" s="150"/>
      <c r="G79" s="142" t="e">
        <f aca="false">+#REF!</f>
        <v>#REF!</v>
      </c>
      <c r="H79" s="88"/>
      <c r="I79" s="88"/>
      <c r="J79" s="151" t="e">
        <f aca="false">+#REF!</f>
        <v>#REF!</v>
      </c>
    </row>
    <row r="80" customFormat="false" ht="12.75" hidden="false" customHeight="false" outlineLevel="0" collapsed="false">
      <c r="C80" s="149" t="e">
        <f aca="false">+#REF!</f>
        <v>#REF!</v>
      </c>
      <c r="D80" s="142" t="e">
        <f aca="false">+#REF!</f>
        <v>#REF!</v>
      </c>
      <c r="E80" s="150" t="e">
        <f aca="false">+#REF!</f>
        <v>#REF!</v>
      </c>
      <c r="F80" s="150"/>
      <c r="G80" s="142" t="e">
        <f aca="false">+#REF!</f>
        <v>#REF!</v>
      </c>
      <c r="H80" s="88"/>
      <c r="I80" s="88"/>
      <c r="J80" s="151" t="e">
        <f aca="false">+#REF!</f>
        <v>#REF!</v>
      </c>
    </row>
    <row r="81" customFormat="false" ht="12.75" hidden="false" customHeight="false" outlineLevel="0" collapsed="false">
      <c r="C81" s="149" t="e">
        <f aca="false">+#REF!</f>
        <v>#REF!</v>
      </c>
      <c r="D81" s="142" t="e">
        <f aca="false">+#REF!</f>
        <v>#REF!</v>
      </c>
      <c r="E81" s="150" t="e">
        <f aca="false">+#REF!</f>
        <v>#REF!</v>
      </c>
      <c r="F81" s="150"/>
      <c r="G81" s="142" t="e">
        <f aca="false">+#REF!</f>
        <v>#REF!</v>
      </c>
      <c r="H81" s="88"/>
      <c r="I81" s="88"/>
      <c r="J81" s="151" t="e">
        <f aca="false">+#REF!</f>
        <v>#REF!</v>
      </c>
    </row>
    <row r="82" customFormat="false" ht="12.75" hidden="false" customHeight="false" outlineLevel="0" collapsed="false">
      <c r="C82" s="149" t="e">
        <f aca="false">+#REF!</f>
        <v>#REF!</v>
      </c>
      <c r="D82" s="142" t="e">
        <f aca="false">+#REF!</f>
        <v>#REF!</v>
      </c>
      <c r="E82" s="150" t="e">
        <f aca="false">+#REF!</f>
        <v>#REF!</v>
      </c>
      <c r="F82" s="150"/>
      <c r="G82" s="142" t="e">
        <f aca="false">+#REF!</f>
        <v>#REF!</v>
      </c>
      <c r="H82" s="88"/>
      <c r="I82" s="88"/>
      <c r="J82" s="151" t="e">
        <f aca="false">+#REF!</f>
        <v>#REF!</v>
      </c>
    </row>
    <row r="83" customFormat="false" ht="12.75" hidden="false" customHeight="false" outlineLevel="0" collapsed="false">
      <c r="C83" s="149" t="e">
        <f aca="false">+#REF!</f>
        <v>#REF!</v>
      </c>
      <c r="D83" s="142" t="e">
        <f aca="false">+#REF!</f>
        <v>#REF!</v>
      </c>
      <c r="E83" s="150" t="e">
        <f aca="false">+#REF!</f>
        <v>#REF!</v>
      </c>
      <c r="F83" s="150"/>
      <c r="G83" s="142" t="e">
        <f aca="false">+#REF!</f>
        <v>#REF!</v>
      </c>
      <c r="H83" s="88"/>
      <c r="I83" s="88"/>
      <c r="J83" s="151" t="e">
        <f aca="false">+#REF!</f>
        <v>#REF!</v>
      </c>
    </row>
    <row r="84" customFormat="false" ht="12.75" hidden="false" customHeight="false" outlineLevel="0" collapsed="false">
      <c r="C84" s="149" t="e">
        <f aca="false">+#REF!</f>
        <v>#REF!</v>
      </c>
      <c r="D84" s="142" t="e">
        <f aca="false">+#REF!</f>
        <v>#REF!</v>
      </c>
      <c r="E84" s="150" t="e">
        <f aca="false">+#REF!</f>
        <v>#REF!</v>
      </c>
      <c r="F84" s="150"/>
      <c r="G84" s="142" t="e">
        <f aca="false">+#REF!</f>
        <v>#REF!</v>
      </c>
      <c r="H84" s="88"/>
      <c r="I84" s="88"/>
      <c r="J84" s="151" t="e">
        <f aca="false">+#REF!</f>
        <v>#REF!</v>
      </c>
    </row>
    <row r="85" customFormat="false" ht="12.75" hidden="false" customHeight="false" outlineLevel="0" collapsed="false">
      <c r="C85" s="152" t="e">
        <f aca="false">+#REF!</f>
        <v>#REF!</v>
      </c>
      <c r="D85" s="153" t="e">
        <f aca="false">+#REF!</f>
        <v>#REF!</v>
      </c>
      <c r="E85" s="154" t="e">
        <f aca="false">+#REF!</f>
        <v>#REF!</v>
      </c>
      <c r="F85" s="154"/>
      <c r="G85" s="153" t="e">
        <f aca="false">+#REF!</f>
        <v>#REF!</v>
      </c>
      <c r="H85" s="99"/>
      <c r="I85" s="99"/>
      <c r="J85" s="155" t="e">
        <f aca="false">+#REF!</f>
        <v>#REF!</v>
      </c>
    </row>
    <row r="86" customFormat="false" ht="13.5" hidden="false" customHeight="false" outlineLevel="0" collapsed="false"/>
    <row r="87" customFormat="false" ht="13.5" hidden="false" customHeight="false" outlineLevel="0" collapsed="false">
      <c r="B87" s="106" t="s">
        <v>20</v>
      </c>
      <c r="C87" s="106"/>
      <c r="D87" s="106"/>
      <c r="E87" s="106"/>
      <c r="F87" s="106"/>
      <c r="G87" s="106"/>
      <c r="H87" s="106"/>
      <c r="I87" s="106"/>
      <c r="J87" s="156" t="e">
        <f aca="false">+J38</f>
        <v>#REF!</v>
      </c>
      <c r="K87" s="157"/>
    </row>
    <row r="88" customFormat="false" ht="13.5" hidden="false" customHeight="false" outlineLevel="0" collapsed="false">
      <c r="B88" s="158"/>
      <c r="C88" s="21"/>
      <c r="D88" s="159"/>
      <c r="E88" s="109" t="s">
        <v>9</v>
      </c>
      <c r="F88" s="88"/>
      <c r="G88" s="109" t="s">
        <v>10</v>
      </c>
      <c r="H88" s="21"/>
      <c r="I88" s="21"/>
      <c r="J88" s="22"/>
      <c r="K88" s="160"/>
    </row>
    <row r="89" customFormat="false" ht="12.75" hidden="false" customHeight="false" outlineLevel="0" collapsed="false">
      <c r="B89" s="26" t="s">
        <v>21</v>
      </c>
      <c r="C89" s="26"/>
      <c r="D89" s="26"/>
      <c r="E89" s="79" t="e">
        <f aca="false">+#REF!</f>
        <v>#REF!</v>
      </c>
      <c r="F89" s="79"/>
      <c r="G89" s="79" t="e">
        <f aca="false">+#REF!</f>
        <v>#REF!</v>
      </c>
      <c r="H89" s="88"/>
      <c r="I89" s="88"/>
      <c r="J89" s="161" t="s">
        <v>22</v>
      </c>
      <c r="K89" s="162"/>
    </row>
    <row r="90" customFormat="false" ht="13.5" hidden="false" customHeight="false" outlineLevel="0" collapsed="false">
      <c r="B90" s="26" t="s">
        <v>23</v>
      </c>
      <c r="C90" s="26"/>
      <c r="D90" s="26"/>
      <c r="E90" s="79" t="e">
        <f aca="false">+#REF!</f>
        <v>#REF!</v>
      </c>
      <c r="F90" s="132"/>
      <c r="G90" s="79" t="e">
        <f aca="false">+#REF!</f>
        <v>#REF!</v>
      </c>
      <c r="H90" s="88"/>
      <c r="I90" s="88"/>
      <c r="J90" s="163" t="e">
        <f aca="false">+G90/G89-1</f>
        <v>#REF!</v>
      </c>
      <c r="K90" s="162"/>
    </row>
    <row r="91" customFormat="false" ht="13.5" hidden="false" customHeight="false" outlineLevel="0" collapsed="false">
      <c r="B91" s="114"/>
      <c r="C91" s="115"/>
      <c r="D91" s="115"/>
      <c r="E91" s="115"/>
      <c r="F91" s="115"/>
      <c r="G91" s="115"/>
      <c r="H91" s="115"/>
      <c r="I91" s="115"/>
      <c r="J91" s="59"/>
      <c r="K91" s="164"/>
    </row>
  </sheetData>
  <sheetProtection sheet="true" password="dc1f" objects="true" scenarios="true"/>
  <mergeCells count="41">
    <mergeCell ref="B2:Q2"/>
    <mergeCell ref="D4:E4"/>
    <mergeCell ref="B7:D7"/>
    <mergeCell ref="L7:M7"/>
    <mergeCell ref="J11:O11"/>
    <mergeCell ref="B12:E12"/>
    <mergeCell ref="M12:N12"/>
    <mergeCell ref="U12:Z13"/>
    <mergeCell ref="M13:N13"/>
    <mergeCell ref="B16:J16"/>
    <mergeCell ref="U16:Z17"/>
    <mergeCell ref="U18:Z19"/>
    <mergeCell ref="U20:Z23"/>
    <mergeCell ref="U24:Z26"/>
    <mergeCell ref="U29:Z33"/>
    <mergeCell ref="E36:G36"/>
    <mergeCell ref="U36:Z38"/>
    <mergeCell ref="B38:I38"/>
    <mergeCell ref="B45:Q45"/>
    <mergeCell ref="B47:J47"/>
    <mergeCell ref="C68:J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B87:I87"/>
    <mergeCell ref="B89:D89"/>
    <mergeCell ref="B90:D90"/>
  </mergeCells>
  <dataValidations count="3">
    <dataValidation allowBlank="false" error="Seleccionar de las lista desplegable" errorStyle="stop" errorTitle="ERROR !!!" operator="between" prompt="&#10;SI =&gt; para EE.CC. ajustados por inflación (moneda homogénea)&#10;&#10;NO =&gt; para EE.CC. en moneda constante (histórica), F.3003 o DD.JJ. Ganancias" promptTitle="BALANCE AJUSTADO POR INFLACIÓN" showDropDown="false" showErrorMessage="true" showInputMessage="true" sqref="Q8" type="list">
      <formula1>$AF$6:$AF$7</formula1>
      <formula2>0</formula2>
    </dataValidation>
    <dataValidation allowBlank="true" error="Verificar fecha" errorStyle="stop" errorTitle="FECHA INVALIDA !!!" operator="between" prompt="Cargar" promptTitle="Fecha a ajustar" showDropDown="false" showErrorMessage="true" showInputMessage="false" sqref="G12" type="none">
      <formula1>0</formula1>
      <formula2>0</formula2>
    </dataValidation>
    <dataValidation allowBlank="true" error="Verificar Fecha" errorStyle="stop" errorTitle="FECHA INVALIDA!!!" operator="between" prompt="Cargar MES/AÑO (no cargar día) " promptTitle="ÚLTIMOS EE.CC." showDropDown="false" showErrorMessage="true" showInputMessage="true" sqref="E7" type="none">
      <formula1>0</formula1>
      <formula2>0</formula2>
    </dataValidation>
  </dataValidations>
  <printOptions headings="false" gridLines="false" gridLinesSet="true" horizontalCentered="false" verticalCentered="false"/>
  <pageMargins left="0.209722222222222" right="0.75" top="0.279861111111111" bottom="1" header="0.511811023622047" footer="0.511811023622047"/>
  <pageSetup paperSize="1" scale="6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E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0546875" defaultRowHeight="12.75" zeroHeight="false" outlineLevelRow="0" outlineLevelCol="0"/>
  <cols>
    <col collapsed="false" customWidth="true" hidden="false" outlineLevel="0" max="2" min="2" style="0" width="12.85"/>
    <col collapsed="false" customWidth="true" hidden="false" outlineLevel="0" max="4" min="4" style="0" width="28.7"/>
  </cols>
  <sheetData>
    <row r="5" customFormat="false" ht="12.75" hidden="false" customHeight="false" outlineLevel="0" collapsed="false">
      <c r="D5" s="165"/>
    </row>
    <row r="6" customFormat="false" ht="12.75" hidden="false" customHeight="false" outlineLevel="0" collapsed="false">
      <c r="A6" s="166" t="n">
        <v>42370</v>
      </c>
      <c r="B6" s="167" t="n">
        <v>80.9882536239214</v>
      </c>
      <c r="D6" s="168" t="s">
        <v>24</v>
      </c>
    </row>
    <row r="7" customFormat="false" ht="12.75" hidden="false" customHeight="false" outlineLevel="0" collapsed="false">
      <c r="A7" s="166" t="n">
        <v>42401</v>
      </c>
      <c r="B7" s="167" t="n">
        <v>85.0376663051175</v>
      </c>
      <c r="D7" s="169"/>
    </row>
    <row r="8" customFormat="false" ht="12.75" hidden="false" customHeight="false" outlineLevel="0" collapsed="false">
      <c r="A8" s="166" t="n">
        <v>42430</v>
      </c>
      <c r="B8" s="167" t="n">
        <v>87.0785702964403</v>
      </c>
      <c r="D8" s="169"/>
    </row>
    <row r="9" customFormat="false" ht="12.75" hidden="false" customHeight="false" outlineLevel="0" collapsed="false">
      <c r="A9" s="166" t="n">
        <v>42461</v>
      </c>
      <c r="B9" s="167" t="n">
        <v>88.3847488508869</v>
      </c>
      <c r="D9" s="169"/>
    </row>
    <row r="10" customFormat="false" ht="12.75" hidden="false" customHeight="false" outlineLevel="0" collapsed="false">
      <c r="A10" s="166" t="n">
        <v>42491</v>
      </c>
      <c r="B10" s="167" t="n">
        <v>91.5665998095189</v>
      </c>
      <c r="D10" s="170"/>
    </row>
    <row r="11" customFormat="false" ht="12.75" hidden="false" customHeight="false" outlineLevel="0" collapsed="false">
      <c r="A11" s="166" t="n">
        <v>42522</v>
      </c>
      <c r="B11" s="167" t="n">
        <v>94.2220312039949</v>
      </c>
      <c r="D11" s="171"/>
    </row>
    <row r="12" customFormat="false" ht="12.75" hidden="false" customHeight="false" outlineLevel="0" collapsed="false">
      <c r="A12" s="166" t="n">
        <v>42552</v>
      </c>
      <c r="B12" s="167" t="n">
        <v>96.7660260465027</v>
      </c>
      <c r="D12" s="171"/>
    </row>
    <row r="13" customFormat="false" ht="12.75" hidden="false" customHeight="false" outlineLevel="0" collapsed="false">
      <c r="A13" s="166" t="n">
        <v>42583</v>
      </c>
      <c r="B13" s="167" t="n">
        <v>97.1530901506888</v>
      </c>
      <c r="D13" s="171"/>
    </row>
    <row r="14" customFormat="false" ht="12.75" hidden="false" customHeight="false" outlineLevel="0" collapsed="false">
      <c r="A14" s="166" t="n">
        <v>42614</v>
      </c>
      <c r="B14" s="167" t="n">
        <v>97.5417025112915</v>
      </c>
      <c r="D14" s="172" t="s">
        <v>25</v>
      </c>
    </row>
    <row r="15" customFormat="false" ht="12.75" hidden="false" customHeight="false" outlineLevel="0" collapsed="false">
      <c r="A15" s="166" t="n">
        <v>42644</v>
      </c>
      <c r="B15" s="167" t="n">
        <v>98.1269527263593</v>
      </c>
      <c r="D15" s="173" t="n">
        <f aca="false">LOOKUP(2,1/(B6:B159&lt;&gt;""),B6:B159)</f>
        <v>11077.0608</v>
      </c>
      <c r="E15" s="166"/>
    </row>
    <row r="16" customFormat="false" ht="12.75" hidden="false" customHeight="false" outlineLevel="0" collapsed="false">
      <c r="A16" s="166" t="n">
        <v>42675</v>
      </c>
      <c r="B16" s="167" t="n">
        <v>99.2063492063492</v>
      </c>
      <c r="D16" s="174" t="n">
        <f aca="false">LOOKUP(2,1/(B6:B159&lt;&gt;""),A6:A159)</f>
        <v>46082</v>
      </c>
    </row>
    <row r="17" customFormat="false" ht="12.75" hidden="false" customHeight="false" outlineLevel="0" collapsed="false">
      <c r="A17" s="166" t="n">
        <v>42705</v>
      </c>
      <c r="B17" s="167" t="n">
        <v>100</v>
      </c>
      <c r="D17" s="171"/>
    </row>
    <row r="18" customFormat="false" ht="12.75" hidden="false" customHeight="false" outlineLevel="0" collapsed="false">
      <c r="A18" s="166" t="n">
        <v>42736</v>
      </c>
      <c r="B18" s="167" t="n">
        <v>101.5859</v>
      </c>
      <c r="D18" s="171"/>
    </row>
    <row r="19" customFormat="false" ht="12.75" hidden="false" customHeight="false" outlineLevel="0" collapsed="false">
      <c r="A19" s="166" t="n">
        <v>42767</v>
      </c>
      <c r="B19" s="167" t="n">
        <v>103.6859</v>
      </c>
      <c r="D19" s="171"/>
    </row>
    <row r="20" customFormat="false" ht="12.75" hidden="false" customHeight="false" outlineLevel="0" collapsed="false">
      <c r="A20" s="166" t="n">
        <v>42795</v>
      </c>
      <c r="B20" s="167" t="n">
        <v>106.1476</v>
      </c>
      <c r="D20" s="171"/>
    </row>
    <row r="21" customFormat="false" ht="12.75" hidden="false" customHeight="false" outlineLevel="0" collapsed="false">
      <c r="A21" s="166" t="n">
        <v>42826</v>
      </c>
      <c r="B21" s="167" t="n">
        <v>108.9667</v>
      </c>
      <c r="D21" s="171"/>
    </row>
    <row r="22" customFormat="false" ht="12.75" hidden="false" customHeight="false" outlineLevel="0" collapsed="false">
      <c r="A22" s="166" t="n">
        <v>42856</v>
      </c>
      <c r="B22" s="167" t="n">
        <v>110.5301</v>
      </c>
      <c r="D22" s="171"/>
    </row>
    <row r="23" customFormat="false" ht="12.75" hidden="false" customHeight="false" outlineLevel="0" collapsed="false">
      <c r="A23" s="166" t="n">
        <v>42887</v>
      </c>
      <c r="B23" s="167" t="n">
        <v>111.8477</v>
      </c>
      <c r="D23" s="171"/>
    </row>
    <row r="24" customFormat="false" ht="12.75" hidden="false" customHeight="false" outlineLevel="0" collapsed="false">
      <c r="A24" s="166" t="n">
        <v>42917</v>
      </c>
      <c r="B24" s="167" t="n">
        <v>113.7852</v>
      </c>
      <c r="D24" s="171"/>
    </row>
    <row r="25" customFormat="false" ht="12.75" hidden="false" customHeight="false" outlineLevel="0" collapsed="false">
      <c r="A25" s="166" t="n">
        <v>42948</v>
      </c>
      <c r="B25" s="167" t="n">
        <v>115.3819</v>
      </c>
      <c r="D25" s="171"/>
    </row>
    <row r="26" customFormat="false" ht="12.75" hidden="false" customHeight="false" outlineLevel="0" collapsed="false">
      <c r="A26" s="166" t="n">
        <v>42979</v>
      </c>
      <c r="B26" s="167" t="n">
        <v>117.5719</v>
      </c>
      <c r="D26" s="171"/>
    </row>
    <row r="27" customFormat="false" ht="12.75" hidden="false" customHeight="false" outlineLevel="0" collapsed="false">
      <c r="A27" s="166" t="n">
        <v>43009</v>
      </c>
      <c r="B27" s="167" t="n">
        <v>119.3528</v>
      </c>
      <c r="D27" s="171"/>
    </row>
    <row r="28" customFormat="false" ht="12.75" hidden="false" customHeight="false" outlineLevel="0" collapsed="false">
      <c r="A28" s="166" t="n">
        <v>43040</v>
      </c>
      <c r="B28" s="167" t="n">
        <v>120.994</v>
      </c>
      <c r="D28" s="171"/>
    </row>
    <row r="29" customFormat="false" ht="12.75" hidden="false" customHeight="false" outlineLevel="0" collapsed="false">
      <c r="A29" s="166" t="n">
        <v>43070</v>
      </c>
      <c r="B29" s="167" t="n">
        <v>124.7956</v>
      </c>
      <c r="D29" s="171"/>
    </row>
    <row r="30" customFormat="false" ht="12.75" hidden="false" customHeight="false" outlineLevel="0" collapsed="false">
      <c r="A30" s="166" t="n">
        <v>43101</v>
      </c>
      <c r="B30" s="167" t="n">
        <v>126.9887</v>
      </c>
      <c r="D30" s="171"/>
    </row>
    <row r="31" customFormat="false" ht="12.75" hidden="false" customHeight="false" outlineLevel="0" collapsed="false">
      <c r="A31" s="166" t="n">
        <v>43132</v>
      </c>
      <c r="B31" s="167" t="n">
        <v>130.0606</v>
      </c>
      <c r="D31" s="171"/>
    </row>
    <row r="32" customFormat="false" ht="12.75" hidden="false" customHeight="false" outlineLevel="0" collapsed="false">
      <c r="A32" s="166" t="n">
        <v>43160</v>
      </c>
      <c r="B32" s="167" t="n">
        <v>133.1054</v>
      </c>
      <c r="D32" s="171"/>
    </row>
    <row r="33" customFormat="false" ht="12.75" hidden="false" customHeight="false" outlineLevel="0" collapsed="false">
      <c r="A33" s="166" t="n">
        <v>43191</v>
      </c>
      <c r="B33" s="167" t="n">
        <v>136.7512</v>
      </c>
      <c r="D33" s="171"/>
    </row>
    <row r="34" customFormat="false" ht="12.75" hidden="false" customHeight="false" outlineLevel="0" collapsed="false">
      <c r="A34" s="166" t="n">
        <v>43221</v>
      </c>
      <c r="B34" s="167" t="n">
        <v>139.5893</v>
      </c>
      <c r="D34" s="171"/>
    </row>
    <row r="35" customFormat="false" ht="12.75" hidden="false" customHeight="false" outlineLevel="0" collapsed="false">
      <c r="A35" s="166" t="n">
        <v>43252</v>
      </c>
      <c r="B35" s="167" t="n">
        <v>144.8053</v>
      </c>
      <c r="D35" s="171"/>
    </row>
    <row r="36" customFormat="false" ht="12.75" hidden="false" customHeight="false" outlineLevel="0" collapsed="false">
      <c r="A36" s="166" t="n">
        <v>43282</v>
      </c>
      <c r="B36" s="167" t="n">
        <v>149.2966</v>
      </c>
      <c r="D36" s="171"/>
    </row>
    <row r="37" customFormat="false" ht="12.75" hidden="false" customHeight="false" outlineLevel="0" collapsed="false">
      <c r="A37" s="166" t="n">
        <v>43313</v>
      </c>
      <c r="B37" s="167" t="n">
        <v>155.1034</v>
      </c>
      <c r="D37" s="171"/>
    </row>
    <row r="38" customFormat="false" ht="12.75" hidden="false" customHeight="false" outlineLevel="0" collapsed="false">
      <c r="A38" s="166" t="n">
        <v>43344</v>
      </c>
      <c r="B38" s="167" t="n">
        <v>165.2383</v>
      </c>
      <c r="D38" s="171"/>
    </row>
    <row r="39" customFormat="false" ht="12.75" hidden="false" customHeight="false" outlineLevel="0" collapsed="false">
      <c r="A39" s="166" t="n">
        <v>43374</v>
      </c>
      <c r="B39" s="167" t="n">
        <v>174.1473</v>
      </c>
      <c r="D39" s="171"/>
    </row>
    <row r="40" customFormat="false" ht="12.75" hidden="false" customHeight="false" outlineLevel="0" collapsed="false">
      <c r="A40" s="166" t="n">
        <v>43405</v>
      </c>
      <c r="B40" s="167" t="n">
        <v>179.6388</v>
      </c>
      <c r="D40" s="171"/>
    </row>
    <row r="41" customFormat="false" ht="12.75" hidden="false" customHeight="false" outlineLevel="0" collapsed="false">
      <c r="A41" s="166" t="n">
        <v>43435</v>
      </c>
      <c r="B41" s="167" t="n">
        <v>184.2552</v>
      </c>
      <c r="D41" s="171"/>
    </row>
    <row r="42" customFormat="false" ht="12.75" hidden="false" customHeight="false" outlineLevel="0" collapsed="false">
      <c r="A42" s="166" t="n">
        <v>43466</v>
      </c>
      <c r="B42" s="167" t="n">
        <v>189.6101</v>
      </c>
      <c r="D42" s="171"/>
    </row>
    <row r="43" customFormat="false" ht="12.75" hidden="false" customHeight="false" outlineLevel="0" collapsed="false">
      <c r="A43" s="166" t="n">
        <v>43497</v>
      </c>
      <c r="B43" s="167" t="n">
        <v>196.7501</v>
      </c>
      <c r="D43" s="171"/>
    </row>
    <row r="44" customFormat="false" ht="12.75" hidden="false" customHeight="false" outlineLevel="0" collapsed="false">
      <c r="A44" s="166" t="n">
        <v>43525</v>
      </c>
      <c r="B44" s="167" t="n">
        <v>205.9571</v>
      </c>
      <c r="D44" s="171"/>
    </row>
    <row r="45" customFormat="false" ht="12.75" hidden="false" customHeight="false" outlineLevel="0" collapsed="false">
      <c r="A45" s="166" t="n">
        <v>43556</v>
      </c>
      <c r="B45" s="167" t="n">
        <v>213.0517</v>
      </c>
      <c r="D45" s="171"/>
    </row>
    <row r="46" customFormat="false" ht="12.75" hidden="false" customHeight="false" outlineLevel="0" collapsed="false">
      <c r="A46" s="166" t="n">
        <v>43586</v>
      </c>
      <c r="B46" s="167" t="n">
        <v>219.5691</v>
      </c>
      <c r="D46" s="171"/>
    </row>
    <row r="47" customFormat="false" ht="12.75" hidden="false" customHeight="false" outlineLevel="0" collapsed="false">
      <c r="A47" s="166" t="n">
        <v>43617</v>
      </c>
      <c r="B47" s="167" t="n">
        <v>225.537</v>
      </c>
    </row>
    <row r="48" customFormat="false" ht="12.75" hidden="false" customHeight="false" outlineLevel="0" collapsed="false">
      <c r="A48" s="166" t="n">
        <v>43647</v>
      </c>
      <c r="B48" s="167" t="n">
        <v>230.494</v>
      </c>
    </row>
    <row r="49" customFormat="false" ht="12.75" hidden="false" customHeight="false" outlineLevel="0" collapsed="false">
      <c r="A49" s="166" t="n">
        <v>43678</v>
      </c>
      <c r="B49" s="167" t="n">
        <v>239.6077</v>
      </c>
    </row>
    <row r="50" customFormat="false" ht="12.75" hidden="false" customHeight="false" outlineLevel="0" collapsed="false">
      <c r="A50" s="166" t="n">
        <v>43709</v>
      </c>
      <c r="B50" s="167" t="n">
        <v>253.7102</v>
      </c>
    </row>
    <row r="51" customFormat="false" ht="12.75" hidden="false" customHeight="false" outlineLevel="0" collapsed="false">
      <c r="A51" s="166" t="n">
        <v>43739</v>
      </c>
      <c r="B51" s="167" t="n">
        <v>262.0661</v>
      </c>
    </row>
    <row r="52" customFormat="false" ht="12.75" hidden="false" customHeight="false" outlineLevel="0" collapsed="false">
      <c r="A52" s="166" t="n">
        <v>43770</v>
      </c>
      <c r="B52" s="167" t="n">
        <v>273.2158</v>
      </c>
    </row>
    <row r="53" customFormat="false" ht="12.75" hidden="false" customHeight="false" outlineLevel="0" collapsed="false">
      <c r="A53" s="166" t="n">
        <v>43800</v>
      </c>
      <c r="B53" s="167" t="n">
        <v>283.4442</v>
      </c>
    </row>
    <row r="54" customFormat="false" ht="12.75" hidden="false" customHeight="false" outlineLevel="0" collapsed="false">
      <c r="A54" s="166" t="n">
        <v>43831</v>
      </c>
      <c r="B54" s="167" t="n">
        <v>289.8299</v>
      </c>
    </row>
    <row r="55" customFormat="false" ht="12.75" hidden="false" customHeight="false" outlineLevel="0" collapsed="false">
      <c r="A55" s="166" t="n">
        <v>43862</v>
      </c>
      <c r="B55" s="167" t="n">
        <v>295.666</v>
      </c>
    </row>
    <row r="56" customFormat="false" ht="12.75" hidden="false" customHeight="false" outlineLevel="0" collapsed="false">
      <c r="A56" s="166" t="n">
        <v>43891</v>
      </c>
      <c r="B56" s="167" t="n">
        <v>305.5515</v>
      </c>
    </row>
    <row r="57" customFormat="false" ht="12.75" hidden="false" customHeight="false" outlineLevel="0" collapsed="false">
      <c r="A57" s="166" t="n">
        <v>43922</v>
      </c>
      <c r="B57" s="167" t="n">
        <v>310.1243</v>
      </c>
    </row>
    <row r="58" customFormat="false" ht="12.75" hidden="false" customHeight="false" outlineLevel="0" collapsed="false">
      <c r="A58" s="166" t="n">
        <v>43952</v>
      </c>
      <c r="B58" s="167" t="n">
        <v>314.9087</v>
      </c>
    </row>
    <row r="59" customFormat="false" ht="12.75" hidden="false" customHeight="false" outlineLevel="0" collapsed="false">
      <c r="A59" s="166" t="n">
        <v>43983</v>
      </c>
      <c r="B59" s="167" t="n">
        <v>321.9738</v>
      </c>
    </row>
    <row r="60" customFormat="false" ht="12.75" hidden="false" customHeight="false" outlineLevel="0" collapsed="false">
      <c r="A60" s="166" t="n">
        <v>44013</v>
      </c>
      <c r="B60" s="167" t="n">
        <v>328.2014</v>
      </c>
    </row>
    <row r="61" customFormat="false" ht="12.75" hidden="false" customHeight="false" outlineLevel="0" collapsed="false">
      <c r="A61" s="166" t="n">
        <v>44044</v>
      </c>
      <c r="B61" s="167" t="n">
        <v>337.0632</v>
      </c>
    </row>
    <row r="62" customFormat="false" ht="12.75" hidden="false" customHeight="false" outlineLevel="0" collapsed="false">
      <c r="A62" s="166" t="n">
        <v>44075</v>
      </c>
      <c r="B62" s="167" t="n">
        <v>346.6207</v>
      </c>
    </row>
    <row r="63" customFormat="false" ht="12.75" hidden="false" customHeight="false" outlineLevel="0" collapsed="false">
      <c r="A63" s="166" t="n">
        <v>44105</v>
      </c>
      <c r="B63" s="167" t="n">
        <v>359.657</v>
      </c>
    </row>
    <row r="64" customFormat="false" ht="12.75" hidden="false" customHeight="false" outlineLevel="0" collapsed="false">
      <c r="A64" s="166" t="n">
        <v>44136</v>
      </c>
      <c r="B64" s="167" t="n">
        <v>371.0211</v>
      </c>
    </row>
    <row r="65" customFormat="false" ht="12.75" hidden="false" customHeight="false" outlineLevel="0" collapsed="false">
      <c r="A65" s="166" t="n">
        <v>44166</v>
      </c>
      <c r="B65" s="167" t="n">
        <v>385.8826</v>
      </c>
    </row>
    <row r="66" customFormat="false" ht="12.75" hidden="false" customHeight="false" outlineLevel="0" collapsed="false">
      <c r="A66" s="166" t="n">
        <v>44197</v>
      </c>
      <c r="B66" s="167" t="n">
        <v>401.5071</v>
      </c>
    </row>
    <row r="67" customFormat="false" ht="12.75" hidden="false" customHeight="false" outlineLevel="0" collapsed="false">
      <c r="A67" s="166" t="n">
        <v>44228</v>
      </c>
      <c r="B67" s="167" t="n">
        <v>415.8595</v>
      </c>
    </row>
    <row r="68" customFormat="false" ht="12.75" hidden="false" customHeight="false" outlineLevel="0" collapsed="false">
      <c r="A68" s="166" t="n">
        <v>44256</v>
      </c>
      <c r="B68" s="167" t="n">
        <v>435.8657</v>
      </c>
    </row>
    <row r="69" customFormat="false" ht="12.75" hidden="false" customHeight="false" outlineLevel="0" collapsed="false">
      <c r="A69" s="166" t="n">
        <v>44287</v>
      </c>
      <c r="B69" s="167" t="n">
        <v>453.6503</v>
      </c>
    </row>
    <row r="70" customFormat="false" ht="12.75" hidden="false" customHeight="false" outlineLevel="0" collapsed="false">
      <c r="A70" s="166" t="n">
        <v>44317</v>
      </c>
      <c r="B70" s="167" t="n">
        <v>468.725</v>
      </c>
    </row>
    <row r="71" customFormat="false" ht="12.75" hidden="false" customHeight="false" outlineLevel="0" collapsed="false">
      <c r="A71" s="166" t="n">
        <v>44348</v>
      </c>
      <c r="B71" s="167" t="n">
        <v>483.6049</v>
      </c>
    </row>
    <row r="72" customFormat="false" ht="12.75" hidden="false" customHeight="false" outlineLevel="0" collapsed="false">
      <c r="A72" s="166" t="n">
        <v>44378</v>
      </c>
      <c r="B72" s="167" t="n">
        <v>498.0987</v>
      </c>
    </row>
    <row r="73" customFormat="false" ht="12.75" hidden="false" customHeight="false" outlineLevel="0" collapsed="false">
      <c r="A73" s="166" t="n">
        <v>44409</v>
      </c>
      <c r="B73" s="167" t="n">
        <v>510.3942</v>
      </c>
    </row>
    <row r="74" customFormat="false" ht="12.75" hidden="false" customHeight="false" outlineLevel="0" collapsed="false">
      <c r="A74" s="166" t="n">
        <v>44440</v>
      </c>
      <c r="B74" s="167" t="n">
        <v>528.4968</v>
      </c>
    </row>
    <row r="75" customFormat="false" ht="12.75" hidden="false" customHeight="false" outlineLevel="0" collapsed="false">
      <c r="A75" s="166" t="n">
        <v>44470</v>
      </c>
      <c r="B75" s="167" t="n">
        <v>547.0802</v>
      </c>
    </row>
    <row r="76" customFormat="false" ht="12.75" hidden="false" customHeight="false" outlineLevel="0" collapsed="false">
      <c r="A76" s="166" t="n">
        <v>44501</v>
      </c>
      <c r="B76" s="167" t="n">
        <v>560.9184</v>
      </c>
    </row>
    <row r="77" customFormat="false" ht="12.75" hidden="false" customHeight="false" outlineLevel="0" collapsed="false">
      <c r="A77" s="166" t="n">
        <v>44531</v>
      </c>
      <c r="B77" s="167" t="n">
        <v>582.4575</v>
      </c>
    </row>
    <row r="78" customFormat="false" ht="12.75" hidden="false" customHeight="false" outlineLevel="0" collapsed="false">
      <c r="A78" s="166" t="n">
        <v>44562</v>
      </c>
      <c r="B78" s="167" t="n">
        <v>605.0317</v>
      </c>
    </row>
    <row r="79" customFormat="false" ht="12.75" hidden="false" customHeight="false" outlineLevel="0" collapsed="false">
      <c r="A79" s="166" t="n">
        <v>44593</v>
      </c>
      <c r="B79" s="167" t="n">
        <v>633.4341</v>
      </c>
    </row>
    <row r="80" customFormat="false" ht="12.75" hidden="false" customHeight="false" outlineLevel="0" collapsed="false">
      <c r="A80" s="166" t="n">
        <v>44621</v>
      </c>
      <c r="B80" s="167" t="n">
        <v>676.0566</v>
      </c>
    </row>
    <row r="81" customFormat="false" ht="12.75" hidden="false" customHeight="false" outlineLevel="0" collapsed="false">
      <c r="A81" s="166" t="n">
        <v>44652</v>
      </c>
      <c r="B81" s="167" t="n">
        <v>716.9399</v>
      </c>
    </row>
    <row r="82" customFormat="false" ht="12.75" hidden="false" customHeight="false" outlineLevel="0" collapsed="false">
      <c r="A82" s="166" t="n">
        <v>44682</v>
      </c>
      <c r="B82" s="167" t="n">
        <v>753.147</v>
      </c>
    </row>
    <row r="83" customFormat="false" ht="12.75" hidden="false" customHeight="false" outlineLevel="0" collapsed="false">
      <c r="A83" s="166" t="n">
        <v>44713</v>
      </c>
      <c r="B83" s="167" t="n">
        <v>793.0278</v>
      </c>
    </row>
    <row r="84" customFormat="false" ht="12.75" hidden="false" customHeight="false" outlineLevel="0" collapsed="false">
      <c r="A84" s="166" t="n">
        <v>44743</v>
      </c>
      <c r="B84" s="167" t="n">
        <v>851.761</v>
      </c>
    </row>
    <row r="85" customFormat="false" ht="12.75" hidden="false" customHeight="false" outlineLevel="0" collapsed="false">
      <c r="A85" s="166" t="n">
        <v>44774</v>
      </c>
      <c r="B85" s="167" t="n">
        <v>911.1316</v>
      </c>
    </row>
    <row r="86" customFormat="false" ht="12.75" hidden="false" customHeight="false" outlineLevel="0" collapsed="false">
      <c r="A86" s="166" t="n">
        <v>44805</v>
      </c>
      <c r="B86" s="167" t="n">
        <v>967.3076</v>
      </c>
    </row>
    <row r="87" customFormat="false" ht="12.75" hidden="false" customHeight="false" outlineLevel="0" collapsed="false">
      <c r="A87" s="166" t="n">
        <v>44835</v>
      </c>
      <c r="B87" s="167" t="n">
        <v>1028.706</v>
      </c>
    </row>
    <row r="88" customFormat="false" ht="12.75" hidden="false" customHeight="false" outlineLevel="0" collapsed="false">
      <c r="A88" s="166" t="n">
        <v>44866</v>
      </c>
      <c r="B88" s="167" t="n">
        <v>1079.2787</v>
      </c>
    </row>
    <row r="89" customFormat="false" ht="12.75" hidden="false" customHeight="false" outlineLevel="0" collapsed="false">
      <c r="A89" s="166" t="n">
        <v>44896</v>
      </c>
      <c r="B89" s="167" t="n">
        <v>1134.5875</v>
      </c>
    </row>
    <row r="90" customFormat="false" ht="12.75" hidden="false" customHeight="false" outlineLevel="0" collapsed="false">
      <c r="A90" s="166" t="n">
        <v>44927</v>
      </c>
      <c r="B90" s="167" t="n">
        <v>1202.979</v>
      </c>
    </row>
    <row r="91" customFormat="false" ht="12.75" hidden="false" customHeight="false" outlineLevel="0" collapsed="false">
      <c r="A91" s="166" t="n">
        <v>44958</v>
      </c>
      <c r="B91" s="167" t="n">
        <v>1282.7091</v>
      </c>
    </row>
    <row r="92" customFormat="false" ht="12.75" hidden="false" customHeight="false" outlineLevel="0" collapsed="false">
      <c r="A92" s="166" t="n">
        <v>44986</v>
      </c>
      <c r="B92" s="167" t="n">
        <v>1381.1601</v>
      </c>
    </row>
    <row r="93" customFormat="false" ht="12.75" hidden="false" customHeight="false" outlineLevel="0" collapsed="false">
      <c r="A93" s="166" t="n">
        <v>45017</v>
      </c>
      <c r="B93" s="167" t="n">
        <v>1497.2147</v>
      </c>
    </row>
    <row r="94" customFormat="false" ht="12.75" hidden="false" customHeight="false" outlineLevel="0" collapsed="false">
      <c r="A94" s="166" t="n">
        <v>45047</v>
      </c>
      <c r="B94" s="167" t="n">
        <v>1613.5895</v>
      </c>
    </row>
    <row r="95" customFormat="false" ht="12.75" hidden="false" customHeight="false" outlineLevel="0" collapsed="false">
      <c r="A95" s="166" t="n">
        <v>45078</v>
      </c>
      <c r="B95" s="167" t="n">
        <v>1709.6115</v>
      </c>
    </row>
    <row r="96" customFormat="false" ht="12.75" hidden="false" customHeight="false" outlineLevel="0" collapsed="false">
      <c r="A96" s="166" t="n">
        <v>45108</v>
      </c>
      <c r="B96" s="167" t="n">
        <v>1818.0838</v>
      </c>
    </row>
    <row r="97" customFormat="false" ht="12.75" hidden="false" customHeight="false" outlineLevel="0" collapsed="false">
      <c r="A97" s="166" t="n">
        <v>45139</v>
      </c>
      <c r="B97" s="167" t="n">
        <v>2044.2832</v>
      </c>
    </row>
    <row r="98" customFormat="false" ht="12.75" hidden="false" customHeight="false" outlineLevel="0" collapsed="false">
      <c r="A98" s="166" t="n">
        <v>45170</v>
      </c>
      <c r="B98" s="167" t="n">
        <v>2304.9242</v>
      </c>
    </row>
    <row r="99" customFormat="false" ht="12.75" hidden="false" customHeight="false" outlineLevel="0" collapsed="false">
      <c r="A99" s="166" t="n">
        <v>45200</v>
      </c>
      <c r="B99" s="167" t="n">
        <v>2496.273</v>
      </c>
    </row>
    <row r="100" customFormat="false" ht="12.75" hidden="false" customHeight="false" outlineLevel="0" collapsed="false">
      <c r="A100" s="166" t="n">
        <v>45231</v>
      </c>
      <c r="B100" s="167" t="n">
        <v>2816.0628</v>
      </c>
    </row>
    <row r="101" customFormat="false" ht="12.75" hidden="false" customHeight="false" outlineLevel="0" collapsed="false">
      <c r="A101" s="166" t="n">
        <v>45261</v>
      </c>
      <c r="B101" s="167" t="n">
        <v>3533.1922</v>
      </c>
    </row>
    <row r="102" customFormat="false" ht="12.75" hidden="false" customHeight="false" outlineLevel="0" collapsed="false">
      <c r="A102" s="166" t="n">
        <v>45292</v>
      </c>
      <c r="B102" s="167" t="n">
        <v>4261.5324</v>
      </c>
    </row>
    <row r="103" customFormat="false" ht="12.75" hidden="false" customHeight="false" outlineLevel="0" collapsed="false">
      <c r="A103" s="166" t="n">
        <v>45323</v>
      </c>
      <c r="B103" s="167" t="n">
        <v>4825.7881</v>
      </c>
    </row>
    <row r="104" customFormat="false" ht="12.75" hidden="false" customHeight="false" outlineLevel="0" collapsed="false">
      <c r="A104" s="166" t="n">
        <v>45352</v>
      </c>
      <c r="B104" s="167" t="n">
        <v>5357.0929</v>
      </c>
    </row>
    <row r="105" customFormat="false" ht="12.75" hidden="false" customHeight="false" outlineLevel="0" collapsed="false">
      <c r="A105" s="166" t="n">
        <v>45383</v>
      </c>
      <c r="B105" s="167" t="n">
        <v>5830.2271</v>
      </c>
    </row>
    <row r="106" customFormat="false" ht="12.75" hidden="false" customHeight="false" outlineLevel="0" collapsed="false">
      <c r="A106" s="166" t="n">
        <v>45413</v>
      </c>
      <c r="B106" s="167" t="n">
        <v>6073.7165</v>
      </c>
    </row>
    <row r="107" customFormat="false" ht="12.75" hidden="false" customHeight="false" outlineLevel="0" collapsed="false">
      <c r="A107" s="166" t="n">
        <v>45444</v>
      </c>
      <c r="B107" s="167" t="n">
        <v>6351.7145</v>
      </c>
    </row>
    <row r="108" customFormat="false" ht="12.75" hidden="false" customHeight="false" outlineLevel="0" collapsed="false">
      <c r="A108" s="166" t="n">
        <v>45474</v>
      </c>
      <c r="B108" s="167" t="n">
        <v>6607.7479</v>
      </c>
    </row>
    <row r="109" customFormat="false" ht="12.75" hidden="false" customHeight="false" outlineLevel="0" collapsed="false">
      <c r="A109" s="166" t="n">
        <v>45505</v>
      </c>
      <c r="B109" s="167" t="n">
        <v>6883.4412</v>
      </c>
    </row>
    <row r="110" customFormat="false" ht="12.75" hidden="false" customHeight="false" outlineLevel="0" collapsed="false">
      <c r="A110" s="166" t="n">
        <v>45536</v>
      </c>
      <c r="B110" s="167" t="n">
        <v>7122.2421</v>
      </c>
    </row>
    <row r="111" customFormat="false" ht="12.75" hidden="false" customHeight="false" outlineLevel="0" collapsed="false">
      <c r="A111" s="166" t="n">
        <v>45566</v>
      </c>
      <c r="B111" s="167" t="n">
        <v>7313.9542</v>
      </c>
    </row>
    <row r="112" customFormat="false" ht="12.75" hidden="false" customHeight="false" outlineLevel="0" collapsed="false">
      <c r="A112" s="166" t="n">
        <v>45597</v>
      </c>
      <c r="B112" s="167" t="n">
        <v>7491.4314</v>
      </c>
    </row>
    <row r="113" customFormat="false" ht="12.75" hidden="false" customHeight="false" outlineLevel="0" collapsed="false">
      <c r="A113" s="166" t="n">
        <v>45627</v>
      </c>
      <c r="B113" s="167" t="n">
        <v>7694.0075</v>
      </c>
    </row>
    <row r="114" customFormat="false" ht="12.75" hidden="false" customHeight="false" outlineLevel="0" collapsed="false">
      <c r="A114" s="166" t="n">
        <v>45658</v>
      </c>
      <c r="B114" s="167" t="n">
        <v>7864.1257</v>
      </c>
    </row>
    <row r="115" customFormat="false" ht="12.75" hidden="false" customHeight="false" outlineLevel="0" collapsed="false">
      <c r="A115" s="166" t="n">
        <v>45689</v>
      </c>
      <c r="B115" s="167" t="n">
        <v>8052.9927</v>
      </c>
    </row>
    <row r="116" customFormat="false" ht="12.75" hidden="false" customHeight="false" outlineLevel="0" collapsed="false">
      <c r="A116" s="166" t="n">
        <v>45717</v>
      </c>
      <c r="B116" s="167" t="n">
        <v>8353.3158</v>
      </c>
    </row>
    <row r="117" customFormat="false" ht="12.75" hidden="false" customHeight="false" outlineLevel="0" collapsed="false">
      <c r="A117" s="166" t="n">
        <v>45748</v>
      </c>
      <c r="B117" s="167" t="n">
        <v>8585.6078</v>
      </c>
    </row>
    <row r="118" customFormat="false" ht="12.75" hidden="false" customHeight="false" outlineLevel="0" collapsed="false">
      <c r="A118" s="166" t="n">
        <v>45778</v>
      </c>
      <c r="B118" s="167" t="n">
        <v>8714.4871</v>
      </c>
    </row>
    <row r="119" customFormat="false" ht="12.75" hidden="false" customHeight="false" outlineLevel="0" collapsed="false">
      <c r="A119" s="166" t="n">
        <v>45809</v>
      </c>
      <c r="B119" s="167" t="n">
        <v>8855.5681</v>
      </c>
    </row>
    <row r="120" customFormat="false" ht="12.75" hidden="false" customHeight="false" outlineLevel="0" collapsed="false">
      <c r="A120" s="166" t="n">
        <v>45839</v>
      </c>
      <c r="B120" s="167" t="n">
        <v>9023.973</v>
      </c>
    </row>
    <row r="121" customFormat="false" ht="12.75" hidden="false" customHeight="false" outlineLevel="0" collapsed="false">
      <c r="A121" s="166" t="n">
        <v>45870</v>
      </c>
      <c r="B121" s="167" t="n">
        <v>9193.2441</v>
      </c>
    </row>
    <row r="122" customFormat="false" ht="12.75" hidden="false" customHeight="false" outlineLevel="0" collapsed="false">
      <c r="A122" s="166" t="n">
        <v>45901</v>
      </c>
      <c r="B122" s="167" t="n">
        <v>9384.0922</v>
      </c>
    </row>
    <row r="123" customFormat="false" ht="12.75" hidden="false" customHeight="false" outlineLevel="0" collapsed="false">
      <c r="A123" s="166" t="n">
        <v>45931</v>
      </c>
      <c r="B123" s="167" t="n">
        <v>9603.8623</v>
      </c>
    </row>
    <row r="124" customFormat="false" ht="12.75" hidden="false" customHeight="false" outlineLevel="0" collapsed="false">
      <c r="A124" s="166" t="n">
        <v>45962</v>
      </c>
      <c r="B124" s="167" t="n">
        <v>9841.3581</v>
      </c>
    </row>
    <row r="125" customFormat="false" ht="12.75" hidden="false" customHeight="false" outlineLevel="0" collapsed="false">
      <c r="A125" s="166" t="n">
        <v>45992</v>
      </c>
      <c r="B125" s="167" t="n">
        <v>10121.3715</v>
      </c>
    </row>
    <row r="126" customFormat="false" ht="12.75" hidden="false" customHeight="false" outlineLevel="0" collapsed="false">
      <c r="A126" s="166" t="n">
        <v>46023</v>
      </c>
      <c r="B126" s="167" t="n">
        <v>10413.0309</v>
      </c>
    </row>
    <row r="127" customFormat="false" ht="12.75" hidden="false" customHeight="false" outlineLevel="0" collapsed="false">
      <c r="A127" s="166" t="n">
        <v>46054</v>
      </c>
      <c r="B127" s="167" t="n">
        <v>10714.6255</v>
      </c>
    </row>
    <row r="128" customFormat="false" ht="12.75" hidden="false" customHeight="false" outlineLevel="0" collapsed="false">
      <c r="A128" s="166" t="n">
        <v>46082</v>
      </c>
      <c r="B128" s="167" t="n">
        <v>11077.0608</v>
      </c>
    </row>
    <row r="129" customFormat="false" ht="12.75" hidden="false" customHeight="false" outlineLevel="0" collapsed="false">
      <c r="A129" s="166" t="n">
        <v>46113</v>
      </c>
    </row>
    <row r="130" customFormat="false" ht="12.75" hidden="false" customHeight="false" outlineLevel="0" collapsed="false">
      <c r="A130" s="166" t="n">
        <v>46143</v>
      </c>
    </row>
    <row r="131" customFormat="false" ht="12.75" hidden="false" customHeight="false" outlineLevel="0" collapsed="false">
      <c r="A131" s="166" t="n">
        <v>46174</v>
      </c>
    </row>
    <row r="132" customFormat="false" ht="12.75" hidden="false" customHeight="false" outlineLevel="0" collapsed="false">
      <c r="A132" s="166" t="n">
        <v>46204</v>
      </c>
    </row>
    <row r="133" customFormat="false" ht="12.75" hidden="false" customHeight="false" outlineLevel="0" collapsed="false">
      <c r="A133" s="166" t="n">
        <v>46235</v>
      </c>
    </row>
    <row r="134" customFormat="false" ht="12.75" hidden="false" customHeight="false" outlineLevel="0" collapsed="false">
      <c r="A134" s="166" t="n">
        <v>46266</v>
      </c>
    </row>
    <row r="135" customFormat="false" ht="12.75" hidden="false" customHeight="false" outlineLevel="0" collapsed="false">
      <c r="A135" s="166" t="n">
        <v>46296</v>
      </c>
    </row>
    <row r="136" customFormat="false" ht="12.75" hidden="false" customHeight="false" outlineLevel="0" collapsed="false">
      <c r="A136" s="166" t="n">
        <v>46327</v>
      </c>
    </row>
    <row r="137" customFormat="false" ht="12.75" hidden="false" customHeight="false" outlineLevel="0" collapsed="false">
      <c r="A137" s="166" t="n">
        <v>46357</v>
      </c>
    </row>
    <row r="138" customFormat="false" ht="12.75" hidden="false" customHeight="false" outlineLevel="0" collapsed="false">
      <c r="A138" s="166" t="n">
        <v>46388</v>
      </c>
    </row>
    <row r="139" customFormat="false" ht="12.75" hidden="false" customHeight="false" outlineLevel="0" collapsed="false">
      <c r="A139" s="166" t="n">
        <v>46419</v>
      </c>
    </row>
    <row r="140" customFormat="false" ht="12.75" hidden="false" customHeight="false" outlineLevel="0" collapsed="false">
      <c r="A140" s="166" t="n">
        <v>46447</v>
      </c>
    </row>
    <row r="141" customFormat="false" ht="12.75" hidden="false" customHeight="false" outlineLevel="0" collapsed="false">
      <c r="A141" s="166" t="n">
        <v>46478</v>
      </c>
    </row>
    <row r="142" customFormat="false" ht="12.75" hidden="false" customHeight="false" outlineLevel="0" collapsed="false">
      <c r="A142" s="166" t="n">
        <v>46508</v>
      </c>
    </row>
    <row r="143" customFormat="false" ht="12.75" hidden="false" customHeight="false" outlineLevel="0" collapsed="false">
      <c r="A143" s="166" t="n">
        <v>46539</v>
      </c>
    </row>
    <row r="144" customFormat="false" ht="12.75" hidden="false" customHeight="false" outlineLevel="0" collapsed="false">
      <c r="A144" s="166" t="n">
        <v>46569</v>
      </c>
    </row>
    <row r="145" customFormat="false" ht="12.75" hidden="false" customHeight="false" outlineLevel="0" collapsed="false">
      <c r="A145" s="166" t="n">
        <v>46600</v>
      </c>
    </row>
    <row r="146" customFormat="false" ht="12.75" hidden="false" customHeight="false" outlineLevel="0" collapsed="false">
      <c r="A146" s="166" t="n">
        <v>46631</v>
      </c>
    </row>
    <row r="147" customFormat="false" ht="12.75" hidden="false" customHeight="false" outlineLevel="0" collapsed="false">
      <c r="A147" s="166" t="n">
        <v>46661</v>
      </c>
    </row>
    <row r="148" customFormat="false" ht="12.75" hidden="false" customHeight="false" outlineLevel="0" collapsed="false">
      <c r="A148" s="166" t="n">
        <v>46692</v>
      </c>
    </row>
    <row r="149" customFormat="false" ht="12.75" hidden="false" customHeight="false" outlineLevel="0" collapsed="false">
      <c r="A149" s="166" t="n">
        <v>46722</v>
      </c>
    </row>
    <row r="150" customFormat="false" ht="12.75" hidden="false" customHeight="false" outlineLevel="0" collapsed="false">
      <c r="A150" s="166" t="n">
        <v>46753</v>
      </c>
    </row>
    <row r="151" customFormat="false" ht="12.75" hidden="false" customHeight="false" outlineLevel="0" collapsed="false">
      <c r="A151" s="166" t="n">
        <v>46784</v>
      </c>
    </row>
    <row r="152" customFormat="false" ht="12.75" hidden="false" customHeight="false" outlineLevel="0" collapsed="false">
      <c r="A152" s="166" t="n">
        <v>46813</v>
      </c>
    </row>
    <row r="153" customFormat="false" ht="12.75" hidden="false" customHeight="false" outlineLevel="0" collapsed="false">
      <c r="A153" s="166" t="n">
        <v>46844</v>
      </c>
    </row>
    <row r="154" customFormat="false" ht="12.75" hidden="false" customHeight="false" outlineLevel="0" collapsed="false">
      <c r="A154" s="166" t="n">
        <v>46874</v>
      </c>
    </row>
    <row r="155" customFormat="false" ht="12.75" hidden="false" customHeight="false" outlineLevel="0" collapsed="false">
      <c r="A155" s="166" t="n">
        <v>46905</v>
      </c>
    </row>
    <row r="156" customFormat="false" ht="12.75" hidden="false" customHeight="false" outlineLevel="0" collapsed="false">
      <c r="A156" s="166" t="n">
        <v>46935</v>
      </c>
    </row>
    <row r="157" customFormat="false" ht="12.75" hidden="false" customHeight="false" outlineLevel="0" collapsed="false">
      <c r="A157" s="166" t="n">
        <v>46966</v>
      </c>
    </row>
    <row r="158" customFormat="false" ht="12.75" hidden="false" customHeight="false" outlineLevel="0" collapsed="false">
      <c r="A158" s="166" t="n">
        <v>46997</v>
      </c>
    </row>
    <row r="159" customFormat="false" ht="12.75" hidden="false" customHeight="false" outlineLevel="0" collapsed="false">
      <c r="A159" s="166" t="n">
        <v>47027</v>
      </c>
    </row>
    <row r="160" customFormat="false" ht="12.75" hidden="false" customHeight="false" outlineLevel="0" collapsed="false">
      <c r="A160" s="166" t="n">
        <v>47058</v>
      </c>
    </row>
    <row r="161" customFormat="false" ht="12.75" hidden="false" customHeight="false" outlineLevel="0" collapsed="false">
      <c r="A161" s="166" t="n">
        <v>47088</v>
      </c>
    </row>
    <row r="162" customFormat="false" ht="12.75" hidden="false" customHeight="false" outlineLevel="0" collapsed="false">
      <c r="A162" s="166" t="n">
        <v>47119</v>
      </c>
    </row>
    <row r="163" customFormat="false" ht="12.75" hidden="false" customHeight="false" outlineLevel="0" collapsed="false">
      <c r="A163" s="166" t="n">
        <v>47150</v>
      </c>
    </row>
    <row r="164" customFormat="false" ht="12.75" hidden="false" customHeight="false" outlineLevel="0" collapsed="false">
      <c r="A164" s="166" t="n">
        <v>47178</v>
      </c>
    </row>
    <row r="165" customFormat="false" ht="12.75" hidden="false" customHeight="false" outlineLevel="0" collapsed="false">
      <c r="A165" s="166" t="n">
        <v>47209</v>
      </c>
    </row>
    <row r="166" customFormat="false" ht="12.75" hidden="false" customHeight="false" outlineLevel="0" collapsed="false">
      <c r="A166" s="166" t="n">
        <v>47239</v>
      </c>
    </row>
    <row r="167" customFormat="false" ht="12.75" hidden="false" customHeight="false" outlineLevel="0" collapsed="false">
      <c r="A167" s="166" t="n">
        <v>47270</v>
      </c>
    </row>
    <row r="168" customFormat="false" ht="12.75" hidden="false" customHeight="false" outlineLevel="0" collapsed="false">
      <c r="A168" s="166" t="n">
        <v>47300</v>
      </c>
    </row>
    <row r="169" customFormat="false" ht="12.75" hidden="false" customHeight="false" outlineLevel="0" collapsed="false">
      <c r="A169" s="166" t="n">
        <v>47331</v>
      </c>
    </row>
    <row r="170" customFormat="false" ht="12.75" hidden="false" customHeight="false" outlineLevel="0" collapsed="false">
      <c r="A170" s="166" t="n">
        <v>47362</v>
      </c>
    </row>
    <row r="171" customFormat="false" ht="12.75" hidden="false" customHeight="false" outlineLevel="0" collapsed="false">
      <c r="A171" s="166" t="n">
        <v>47392</v>
      </c>
    </row>
    <row r="172" customFormat="false" ht="12.75" hidden="false" customHeight="false" outlineLevel="0" collapsed="false">
      <c r="A172" s="166" t="n">
        <v>47423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6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B113" activeCellId="0" sqref="B113"/>
    </sheetView>
  </sheetViews>
  <sheetFormatPr defaultColWidth="11.0546875" defaultRowHeight="15" zeroHeight="false" outlineLevelRow="0" outlineLevelCol="0"/>
  <cols>
    <col collapsed="false" customWidth="true" hidden="false" outlineLevel="0" max="1" min="1" style="175" width="20.28"/>
    <col collapsed="false" customWidth="true" hidden="false" outlineLevel="0" max="2" min="2" style="176" width="22.56"/>
    <col collapsed="false" customWidth="true" hidden="false" outlineLevel="0" max="3" min="3" style="3" width="11.42"/>
    <col collapsed="false" customWidth="true" hidden="false" outlineLevel="0" max="4" min="4" style="177" width="19.7"/>
    <col collapsed="false" customWidth="true" hidden="false" outlineLevel="0" max="5" min="5" style="6" width="21.7"/>
    <col collapsed="false" customWidth="true" hidden="false" outlineLevel="0" max="6" min="6" style="6" width="2.84"/>
    <col collapsed="false" customWidth="true" hidden="false" outlineLevel="0" max="7" min="7" style="6" width="12.42"/>
    <col collapsed="false" customWidth="true" hidden="false" outlineLevel="0" max="8" min="8" style="6" width="10.13"/>
    <col collapsed="false" customWidth="true" hidden="false" outlineLevel="0" max="9" min="9" style="6" width="11.56"/>
    <col collapsed="false" customWidth="true" hidden="false" outlineLevel="0" max="10" min="10" style="6" width="4.99"/>
    <col collapsed="false" customWidth="true" hidden="false" outlineLevel="0" max="11" min="11" style="6" width="11.7"/>
    <col collapsed="false" customWidth="true" hidden="false" outlineLevel="0" max="13" min="12" style="6" width="11.42"/>
    <col collapsed="false" customWidth="true" hidden="false" outlineLevel="0" max="14" min="14" style="6" width="15.7"/>
    <col collapsed="false" customWidth="true" hidden="false" outlineLevel="0" max="15" min="15" style="6" width="63.99"/>
    <col collapsed="false" customWidth="true" hidden="false" outlineLevel="0" max="16" min="16" style="6" width="24.41"/>
  </cols>
  <sheetData>
    <row r="1" customFormat="false" ht="15" hidden="false" customHeight="false" outlineLevel="0" collapsed="false">
      <c r="A1" s="178" t="s">
        <v>26</v>
      </c>
      <c r="B1" s="179" t="s">
        <v>27</v>
      </c>
      <c r="D1" s="180" t="s">
        <v>28</v>
      </c>
    </row>
    <row r="2" customFormat="false" ht="15" hidden="false" customHeight="false" outlineLevel="0" collapsed="false">
      <c r="A2" s="181" t="n">
        <f aca="false">DATE(YEAR(D2),MONTH(D2),DAY(1))</f>
        <v>42766</v>
      </c>
      <c r="B2" s="176" t="n">
        <v>15.9117</v>
      </c>
      <c r="D2" s="177" t="n">
        <v>42766</v>
      </c>
    </row>
    <row r="3" customFormat="false" ht="15" hidden="false" customHeight="false" outlineLevel="0" collapsed="false">
      <c r="A3" s="181" t="n">
        <f aca="false">DATE(YEAR(D3),MONTH(D3),DAY(1))</f>
        <v>42797</v>
      </c>
      <c r="B3" s="176" t="n">
        <v>15.455</v>
      </c>
      <c r="D3" s="177" t="n">
        <v>42790</v>
      </c>
    </row>
    <row r="4" customFormat="false" ht="15" hidden="false" customHeight="false" outlineLevel="0" collapsed="false">
      <c r="A4" s="181" t="n">
        <f aca="false">DATE(YEAR(D4),MONTH(D4),DAY(1))</f>
        <v>42825</v>
      </c>
      <c r="B4" s="176" t="n">
        <v>15.3818</v>
      </c>
      <c r="D4" s="177" t="n">
        <v>42825</v>
      </c>
      <c r="F4" s="182"/>
      <c r="G4" s="183"/>
      <c r="H4" s="183"/>
      <c r="I4" s="183"/>
      <c r="J4" s="183"/>
      <c r="K4" s="184"/>
    </row>
    <row r="5" customFormat="false" ht="15" hidden="false" customHeight="false" outlineLevel="0" collapsed="false">
      <c r="A5" s="181" t="n">
        <f aca="false">DATE(YEAR(D5),MONTH(D5),DAY(1))</f>
        <v>42856</v>
      </c>
      <c r="B5" s="176" t="n">
        <v>15.4268</v>
      </c>
      <c r="D5" s="177" t="n">
        <v>42853</v>
      </c>
      <c r="F5" s="185"/>
      <c r="G5" s="186" t="s">
        <v>29</v>
      </c>
      <c r="H5" s="186"/>
      <c r="I5" s="186"/>
      <c r="J5" s="187"/>
      <c r="K5" s="188"/>
      <c r="N5" s="189" t="s">
        <v>30</v>
      </c>
    </row>
    <row r="6" customFormat="false" ht="15" hidden="false" customHeight="false" outlineLevel="0" collapsed="false">
      <c r="A6" s="181" t="n">
        <f aca="false">DATE(YEAR(D6),MONTH(D6),DAY(1))</f>
        <v>42886</v>
      </c>
      <c r="B6" s="176" t="n">
        <v>16.142</v>
      </c>
      <c r="D6" s="177" t="n">
        <v>42886</v>
      </c>
      <c r="F6" s="185"/>
      <c r="G6" s="187"/>
      <c r="H6" s="187"/>
      <c r="I6" s="187"/>
      <c r="J6" s="187"/>
      <c r="K6" s="188"/>
      <c r="N6" s="177" t="n">
        <f aca="false">LOOKUP(2,1/(D2:D158&lt;&gt;""),D2:D158)</f>
        <v>46112</v>
      </c>
    </row>
    <row r="7" customFormat="false" ht="15" hidden="false" customHeight="false" outlineLevel="0" collapsed="false">
      <c r="A7" s="181" t="n">
        <f aca="false">DATE(YEAR(D7),MONTH(D7),DAY(1))</f>
        <v>42917</v>
      </c>
      <c r="B7" s="176" t="n">
        <v>16.5985</v>
      </c>
      <c r="D7" s="177" t="n">
        <v>42916</v>
      </c>
      <c r="F7" s="185"/>
      <c r="G7" s="187"/>
      <c r="H7" s="187"/>
      <c r="I7" s="187"/>
      <c r="J7" s="187"/>
      <c r="K7" s="188"/>
    </row>
    <row r="8" customFormat="false" ht="15" hidden="false" customHeight="false" outlineLevel="0" collapsed="false">
      <c r="A8" s="181" t="n">
        <f aca="false">DATE(YEAR(D8),MONTH(D8),DAY(1))</f>
        <v>42947</v>
      </c>
      <c r="B8" s="176" t="n">
        <v>17.67</v>
      </c>
      <c r="D8" s="177" t="n">
        <v>42947</v>
      </c>
      <c r="F8" s="185"/>
      <c r="G8" s="187"/>
      <c r="H8" s="187"/>
      <c r="I8" s="187"/>
      <c r="J8" s="187"/>
      <c r="K8" s="188"/>
    </row>
    <row r="9" customFormat="false" ht="15" hidden="false" customHeight="false" outlineLevel="0" collapsed="false">
      <c r="A9" s="181" t="n">
        <f aca="false">DATE(YEAR(D9),MONTH(D9),DAY(1))</f>
        <v>42978</v>
      </c>
      <c r="B9" s="176" t="n">
        <v>17.365</v>
      </c>
      <c r="D9" s="177" t="n">
        <v>42978</v>
      </c>
      <c r="F9" s="185"/>
      <c r="G9" s="187"/>
      <c r="H9" s="187"/>
      <c r="I9" s="187"/>
      <c r="J9" s="187"/>
      <c r="K9" s="188"/>
    </row>
    <row r="10" customFormat="false" ht="15" hidden="false" customHeight="false" outlineLevel="0" collapsed="false">
      <c r="A10" s="181" t="n">
        <f aca="false">DATE(YEAR(D10),MONTH(D10),DAY(1))</f>
        <v>43009</v>
      </c>
      <c r="B10" s="176" t="n">
        <v>17.3183</v>
      </c>
      <c r="D10" s="177" t="n">
        <v>43007</v>
      </c>
      <c r="F10" s="185"/>
      <c r="G10" s="187"/>
      <c r="H10" s="187"/>
      <c r="I10" s="187"/>
      <c r="J10" s="187"/>
      <c r="K10" s="188"/>
    </row>
    <row r="11" customFormat="false" ht="15" hidden="false" customHeight="false" outlineLevel="0" collapsed="false">
      <c r="A11" s="181" t="n">
        <f aca="false">DATE(YEAR(D11),MONTH(D11),DAY(1))</f>
        <v>43039</v>
      </c>
      <c r="B11" s="176" t="n">
        <v>17.6713</v>
      </c>
      <c r="D11" s="177" t="n">
        <v>43039</v>
      </c>
      <c r="F11" s="185"/>
      <c r="G11" s="187"/>
      <c r="H11" s="187"/>
      <c r="I11" s="187"/>
      <c r="J11" s="187"/>
      <c r="K11" s="188"/>
    </row>
    <row r="12" customFormat="false" ht="15" hidden="false" customHeight="false" outlineLevel="0" collapsed="false">
      <c r="A12" s="181" t="n">
        <f aca="false">DATE(YEAR(D12),MONTH(D12),DAY(1))</f>
        <v>43070</v>
      </c>
      <c r="B12" s="176" t="n">
        <v>17.3845</v>
      </c>
      <c r="D12" s="177" t="n">
        <v>43069</v>
      </c>
      <c r="F12" s="190"/>
      <c r="G12" s="191"/>
      <c r="H12" s="191"/>
      <c r="I12" s="191"/>
      <c r="J12" s="191"/>
      <c r="K12" s="188"/>
    </row>
    <row r="13" customFormat="false" ht="15" hidden="false" customHeight="false" outlineLevel="0" collapsed="false">
      <c r="A13" s="181" t="n">
        <f aca="false">DATE(YEAR(D13),MONTH(D13),DAY(1))</f>
        <v>43100</v>
      </c>
      <c r="B13" s="176" t="n">
        <v>18.7742</v>
      </c>
      <c r="D13" s="177" t="n">
        <v>43098</v>
      </c>
      <c r="F13" s="190"/>
      <c r="G13" s="192" t="s">
        <v>31</v>
      </c>
      <c r="H13" s="192"/>
      <c r="I13" s="192"/>
      <c r="J13" s="192"/>
      <c r="K13" s="193"/>
    </row>
    <row r="14" customFormat="false" ht="15" hidden="false" customHeight="false" outlineLevel="0" collapsed="false">
      <c r="A14" s="181" t="n">
        <v>43101</v>
      </c>
      <c r="B14" s="176" t="n">
        <v>19.6525</v>
      </c>
      <c r="D14" s="177" t="n">
        <v>43131</v>
      </c>
      <c r="F14" s="185"/>
      <c r="G14" s="194" t="s">
        <v>32</v>
      </c>
      <c r="H14" s="194"/>
      <c r="I14" s="194"/>
      <c r="J14" s="194"/>
      <c r="K14" s="193"/>
    </row>
    <row r="15" customFormat="false" ht="15" hidden="false" customHeight="false" outlineLevel="0" collapsed="false">
      <c r="A15" s="181" t="n">
        <f aca="false">DATE(YEAR(D15),MONTH(D15),DAY(1))</f>
        <v>43162</v>
      </c>
      <c r="B15" s="176" t="n">
        <v>20.115</v>
      </c>
      <c r="D15" s="177" t="n">
        <v>43159</v>
      </c>
      <c r="F15" s="185"/>
      <c r="G15" s="194" t="s">
        <v>33</v>
      </c>
      <c r="H15" s="194"/>
      <c r="I15" s="194"/>
      <c r="J15" s="194"/>
      <c r="K15" s="193"/>
    </row>
    <row r="16" customFormat="false" ht="15" hidden="false" customHeight="false" outlineLevel="0" collapsed="false">
      <c r="A16" s="181" t="n">
        <f aca="false">DATE(YEAR(D16),MONTH(D16),DAY(1))</f>
        <v>43190</v>
      </c>
      <c r="B16" s="176" t="n">
        <v>20.1433</v>
      </c>
      <c r="D16" s="177" t="n">
        <v>43187</v>
      </c>
      <c r="F16" s="185"/>
      <c r="G16" s="194"/>
      <c r="H16" s="194"/>
      <c r="I16" s="194"/>
      <c r="J16" s="194"/>
      <c r="K16" s="193"/>
    </row>
    <row r="17" customFormat="false" ht="15" hidden="false" customHeight="false" outlineLevel="0" collapsed="false">
      <c r="A17" s="181" t="n">
        <f aca="false">DATE(YEAR(D17),MONTH(D17),DAY(1))</f>
        <v>43221</v>
      </c>
      <c r="B17" s="176" t="n">
        <v>20.6917</v>
      </c>
      <c r="D17" s="177" t="n">
        <v>43217</v>
      </c>
      <c r="F17" s="195" t="s">
        <v>34</v>
      </c>
      <c r="G17" s="195"/>
      <c r="H17" s="195"/>
      <c r="I17" s="195"/>
      <c r="J17" s="195"/>
      <c r="K17" s="195"/>
      <c r="L17" s="46" t="s">
        <v>35</v>
      </c>
    </row>
    <row r="18" customFormat="false" ht="15" hidden="false" customHeight="false" outlineLevel="0" collapsed="false">
      <c r="A18" s="181" t="n">
        <f aca="false">DATE(YEAR(D18),MONTH(D18),DAY(1))</f>
        <v>43251</v>
      </c>
      <c r="B18" s="176" t="n">
        <v>24.9475</v>
      </c>
      <c r="D18" s="177" t="n">
        <v>43251</v>
      </c>
    </row>
    <row r="19" customFormat="false" ht="15" hidden="false" customHeight="false" outlineLevel="0" collapsed="false">
      <c r="A19" s="181" t="n">
        <f aca="false">DATE(YEAR(D19),MONTH(D19),DAY(1))</f>
        <v>43282</v>
      </c>
      <c r="B19" s="176" t="n">
        <v>28.8617</v>
      </c>
      <c r="D19" s="177" t="n">
        <v>43280</v>
      </c>
    </row>
    <row r="20" customFormat="false" ht="15" hidden="false" customHeight="false" outlineLevel="0" collapsed="false">
      <c r="A20" s="181" t="n">
        <f aca="false">DATE(YEAR(D20),MONTH(D20),DAY(1))</f>
        <v>43312</v>
      </c>
      <c r="B20" s="176" t="n">
        <v>27.3425</v>
      </c>
      <c r="D20" s="177" t="n">
        <v>43312</v>
      </c>
    </row>
    <row r="21" customFormat="false" ht="15" hidden="false" customHeight="false" outlineLevel="0" collapsed="false">
      <c r="A21" s="181" t="n">
        <f aca="false">DATE(YEAR(D21),MONTH(D21),DAY(1))</f>
        <v>43343</v>
      </c>
      <c r="B21" s="176" t="n">
        <v>37.125</v>
      </c>
      <c r="D21" s="177" t="n">
        <v>43343</v>
      </c>
    </row>
    <row r="22" customFormat="false" ht="15" hidden="false" customHeight="false" outlineLevel="0" collapsed="false">
      <c r="A22" s="181" t="n">
        <f aca="false">DATE(YEAR(D22),MONTH(D22),DAY(1))</f>
        <v>43374</v>
      </c>
      <c r="B22" s="176" t="n">
        <v>40.8967</v>
      </c>
      <c r="D22" s="177" t="n">
        <v>43371</v>
      </c>
    </row>
    <row r="23" customFormat="false" ht="15" hidden="false" customHeight="false" outlineLevel="0" collapsed="false">
      <c r="A23" s="181" t="n">
        <f aca="false">DATE(YEAR(D23),MONTH(D23),DAY(1))</f>
        <v>43404</v>
      </c>
      <c r="B23" s="176" t="n">
        <v>36.1967</v>
      </c>
      <c r="D23" s="177" t="n">
        <v>43404</v>
      </c>
    </row>
    <row r="24" customFormat="false" ht="15" hidden="false" customHeight="false" outlineLevel="0" collapsed="false">
      <c r="A24" s="181" t="n">
        <f aca="false">DATE(YEAR(D24),MONTH(D24),DAY(1))</f>
        <v>43435</v>
      </c>
      <c r="B24" s="176" t="n">
        <v>38.0217</v>
      </c>
      <c r="D24" s="177" t="n">
        <v>43433</v>
      </c>
    </row>
    <row r="25" customFormat="false" ht="15" hidden="false" customHeight="false" outlineLevel="0" collapsed="false">
      <c r="A25" s="181" t="n">
        <v>43435</v>
      </c>
      <c r="B25" s="176" t="n">
        <v>37.8083</v>
      </c>
      <c r="D25" s="177" t="n">
        <v>43462</v>
      </c>
    </row>
    <row r="26" customFormat="false" ht="15" hidden="false" customHeight="false" outlineLevel="0" collapsed="false">
      <c r="A26" s="181" t="n">
        <f aca="false">DATE(YEAR(D26),MONTH(D26),DAY(1))</f>
        <v>43496</v>
      </c>
      <c r="B26" s="176" t="n">
        <v>37.035</v>
      </c>
      <c r="D26" s="177" t="n">
        <v>43496</v>
      </c>
    </row>
    <row r="27" customFormat="false" ht="15" hidden="false" customHeight="false" outlineLevel="0" collapsed="false">
      <c r="A27" s="181" t="n">
        <f aca="false">DATE(YEAR(D27),MONTH(D27),DAY(1))</f>
        <v>43527</v>
      </c>
      <c r="B27" s="176" t="n">
        <v>38.9983</v>
      </c>
      <c r="D27" s="177" t="n">
        <v>43524</v>
      </c>
    </row>
    <row r="28" customFormat="false" ht="15" hidden="false" customHeight="false" outlineLevel="0" collapsed="false">
      <c r="A28" s="181" t="n">
        <f aca="false">DATE(YEAR(D28),MONTH(D28),DAY(1))</f>
        <v>43555</v>
      </c>
      <c r="B28" s="176" t="n">
        <v>43.3533</v>
      </c>
      <c r="D28" s="177" t="n">
        <v>43553</v>
      </c>
    </row>
    <row r="29" customFormat="false" ht="15" hidden="false" customHeight="false" outlineLevel="0" collapsed="false">
      <c r="A29" s="181" t="n">
        <f aca="false">DATE(YEAR(D29),MONTH(D29),DAY(1))</f>
        <v>43586</v>
      </c>
      <c r="B29" s="176" t="n">
        <v>44.01</v>
      </c>
      <c r="D29" s="177" t="n">
        <v>43585</v>
      </c>
    </row>
    <row r="30" customFormat="false" ht="15" hidden="false" customHeight="false" outlineLevel="0" collapsed="false">
      <c r="A30" s="181" t="n">
        <f aca="false">DATE(YEAR(D30),MONTH(D30),DAY(1))</f>
        <v>43616</v>
      </c>
      <c r="B30" s="176" t="n">
        <v>44.87</v>
      </c>
      <c r="D30" s="177" t="n">
        <v>43616</v>
      </c>
    </row>
    <row r="31" customFormat="false" ht="15" hidden="false" customHeight="false" outlineLevel="0" collapsed="false">
      <c r="A31" s="181" t="n">
        <f aca="false">DATE(YEAR(D31),MONTH(D31),DAY(1))</f>
        <v>43647</v>
      </c>
      <c r="B31" s="176" t="n">
        <v>42.4483</v>
      </c>
      <c r="D31" s="177" t="n">
        <v>43644</v>
      </c>
    </row>
    <row r="32" customFormat="false" ht="15" hidden="false" customHeight="false" outlineLevel="0" collapsed="false">
      <c r="A32" s="181" t="n">
        <f aca="false">DATE(YEAR(D32),MONTH(D32),DAY(1))</f>
        <v>43677</v>
      </c>
      <c r="B32" s="176" t="n">
        <v>43.8692</v>
      </c>
      <c r="D32" s="177" t="n">
        <v>43677</v>
      </c>
    </row>
    <row r="33" customFormat="false" ht="15" hidden="false" customHeight="false" outlineLevel="0" collapsed="false">
      <c r="A33" s="181" t="n">
        <f aca="false">DATE(YEAR(D33),MONTH(D33),DAY(1))</f>
        <v>43708</v>
      </c>
      <c r="B33" s="176" t="n">
        <v>59.075</v>
      </c>
      <c r="D33" s="177" t="n">
        <v>43707</v>
      </c>
    </row>
    <row r="34" customFormat="false" ht="15" hidden="false" customHeight="false" outlineLevel="0" collapsed="false">
      <c r="A34" s="181" t="n">
        <f aca="false">DATE(YEAR(D34),MONTH(D34),DAY(1))</f>
        <v>43739</v>
      </c>
      <c r="B34" s="176" t="n">
        <v>57.5583</v>
      </c>
      <c r="D34" s="177" t="n">
        <v>43738</v>
      </c>
    </row>
    <row r="35" customFormat="false" ht="15" hidden="false" customHeight="false" outlineLevel="0" collapsed="false">
      <c r="A35" s="181" t="n">
        <f aca="false">DATE(YEAR(D35),MONTH(D35),DAY(1))</f>
        <v>43769</v>
      </c>
      <c r="B35" s="176" t="n">
        <v>59.7267</v>
      </c>
      <c r="D35" s="177" t="n">
        <v>43769</v>
      </c>
    </row>
    <row r="36" customFormat="false" ht="15" hidden="false" customHeight="false" outlineLevel="0" collapsed="false">
      <c r="A36" s="181" t="n">
        <f aca="false">DATE(YEAR(D36),MONTH(D36),DAY(1))</f>
        <v>43800</v>
      </c>
      <c r="B36" s="176" t="n">
        <v>59.8633</v>
      </c>
      <c r="D36" s="177" t="n">
        <v>43798</v>
      </c>
    </row>
    <row r="37" customFormat="false" ht="15" hidden="false" customHeight="false" outlineLevel="0" collapsed="false">
      <c r="A37" s="181" t="n">
        <f aca="false">DATE(YEAR(D37),MONTH(D37),DAY(1))</f>
        <v>43830</v>
      </c>
      <c r="B37" s="176" t="n">
        <v>59.895</v>
      </c>
      <c r="D37" s="177" t="n">
        <v>43829</v>
      </c>
    </row>
    <row r="38" customFormat="false" ht="15" hidden="false" customHeight="false" outlineLevel="0" collapsed="false">
      <c r="A38" s="181" t="n">
        <f aca="false">DATE(YEAR(D38),MONTH(D38),DAY(1))</f>
        <v>43861</v>
      </c>
      <c r="B38" s="176" t="n">
        <v>60.3312</v>
      </c>
      <c r="D38" s="177" t="n">
        <v>43861</v>
      </c>
    </row>
    <row r="39" customFormat="false" ht="15" hidden="false" customHeight="false" outlineLevel="0" collapsed="false">
      <c r="A39" s="181" t="n">
        <f aca="false">DATE(YEAR(D39),MONTH(D39),DAY(1))</f>
        <v>43892</v>
      </c>
      <c r="B39" s="176" t="n">
        <v>62.208</v>
      </c>
      <c r="D39" s="177" t="n">
        <v>43889</v>
      </c>
    </row>
    <row r="40" customFormat="false" ht="15" hidden="false" customHeight="false" outlineLevel="0" collapsed="false">
      <c r="A40" s="181" t="n">
        <f aca="false">DATE(YEAR(D40),MONTH(D40),DAY(1))</f>
        <v>43921</v>
      </c>
      <c r="B40" s="176" t="n">
        <v>64.4697</v>
      </c>
      <c r="D40" s="177" t="n">
        <v>43920</v>
      </c>
    </row>
    <row r="41" customFormat="false" ht="15" hidden="false" customHeight="false" outlineLevel="0" collapsed="false">
      <c r="A41" s="181" t="n">
        <f aca="false">DATE(YEAR(D41),MONTH(D41),DAY(1))</f>
        <v>43952</v>
      </c>
      <c r="B41" s="176" t="n">
        <v>66.835</v>
      </c>
      <c r="D41" s="177" t="n">
        <v>43951</v>
      </c>
    </row>
    <row r="42" customFormat="false" ht="15" hidden="false" customHeight="false" outlineLevel="0" collapsed="false">
      <c r="A42" s="181" t="n">
        <f aca="false">DATE(YEAR(D42),MONTH(D42),DAY(1))</f>
        <v>43982</v>
      </c>
      <c r="B42" s="176" t="n">
        <v>68.535</v>
      </c>
      <c r="D42" s="177" t="n">
        <v>43980</v>
      </c>
    </row>
    <row r="43" customFormat="false" ht="15" hidden="false" customHeight="false" outlineLevel="0" collapsed="false">
      <c r="A43" s="181" t="n">
        <f aca="false">DATE(YEAR(D43),MONTH(D43),DAY(1))</f>
        <v>44013</v>
      </c>
      <c r="B43" s="176" t="n">
        <v>70.455</v>
      </c>
      <c r="D43" s="177" t="n">
        <v>44012</v>
      </c>
    </row>
    <row r="44" customFormat="false" ht="15" hidden="false" customHeight="false" outlineLevel="0" collapsed="false">
      <c r="A44" s="181" t="n">
        <f aca="false">DATE(YEAR(D44),MONTH(D44),DAY(1))</f>
        <v>44043</v>
      </c>
      <c r="B44" s="176" t="n">
        <v>72.315</v>
      </c>
      <c r="D44" s="177" t="n">
        <v>44043</v>
      </c>
    </row>
    <row r="45" customFormat="false" ht="15" hidden="false" customHeight="false" outlineLevel="0" collapsed="false">
      <c r="A45" s="181" t="n">
        <f aca="false">DATE(YEAR(D45),MONTH(D45),DAY(1))</f>
        <v>44074</v>
      </c>
      <c r="B45" s="176" t="n">
        <v>74.175</v>
      </c>
      <c r="D45" s="177" t="n">
        <v>44074</v>
      </c>
    </row>
    <row r="46" customFormat="false" ht="15" hidden="false" customHeight="false" outlineLevel="0" collapsed="false">
      <c r="A46" s="181" t="n">
        <f aca="false">DATE(YEAR(D46),MONTH(D46),DAY(1))</f>
        <v>44105</v>
      </c>
      <c r="B46" s="176" t="n">
        <v>76.175</v>
      </c>
      <c r="D46" s="177" t="n">
        <v>44104</v>
      </c>
    </row>
    <row r="47" customFormat="false" ht="15" hidden="false" customHeight="false" outlineLevel="0" collapsed="false">
      <c r="A47" s="181" t="n">
        <f aca="false">DATE(YEAR(D47),MONTH(D47),DAY(1))</f>
        <v>44135</v>
      </c>
      <c r="B47" s="176" t="n">
        <v>78.3283</v>
      </c>
      <c r="D47" s="177" t="n">
        <v>44135</v>
      </c>
    </row>
    <row r="48" customFormat="false" ht="15" hidden="false" customHeight="false" outlineLevel="0" collapsed="false">
      <c r="A48" s="181" t="n">
        <f aca="false">DATE(YEAR(D48),MONTH(D48),DAY(1))</f>
        <v>44166</v>
      </c>
      <c r="B48" s="176" t="n">
        <v>81.2967</v>
      </c>
      <c r="D48" s="177" t="n">
        <v>44165</v>
      </c>
    </row>
    <row r="49" customFormat="false" ht="15" hidden="false" customHeight="false" outlineLevel="0" collapsed="false">
      <c r="A49" s="181" t="n">
        <f aca="false">DATE(YEAR(D49),MONTH(D49),DAY(1))</f>
        <v>44196</v>
      </c>
      <c r="B49" s="176" t="n">
        <v>84.145</v>
      </c>
      <c r="D49" s="177" t="n">
        <v>44195</v>
      </c>
    </row>
    <row r="50" customFormat="false" ht="15" hidden="false" customHeight="false" outlineLevel="0" collapsed="false">
      <c r="A50" s="181" t="n">
        <f aca="false">DATE(YEAR(D50),MONTH(D50),DAY(1))</f>
        <v>44227</v>
      </c>
      <c r="B50" s="176" t="n">
        <v>87.2983</v>
      </c>
      <c r="D50" s="177" t="n">
        <v>44225</v>
      </c>
    </row>
    <row r="51" customFormat="false" ht="15" hidden="false" customHeight="false" outlineLevel="0" collapsed="false">
      <c r="A51" s="181" t="n">
        <f aca="false">DATE(YEAR(D51),MONTH(D51),DAY(1))</f>
        <v>44258</v>
      </c>
      <c r="B51" s="176" t="n">
        <v>89.825</v>
      </c>
      <c r="D51" s="177" t="n">
        <v>44253</v>
      </c>
    </row>
    <row r="52" customFormat="false" ht="15" hidden="false" customHeight="false" outlineLevel="0" collapsed="false">
      <c r="A52" s="181" t="n">
        <f aca="false">DATE(YEAR(D52),MONTH(D52),DAY(1))</f>
        <v>44286</v>
      </c>
      <c r="B52" s="176" t="n">
        <v>91.985</v>
      </c>
      <c r="D52" s="177" t="n">
        <v>44286</v>
      </c>
    </row>
    <row r="53" customFormat="false" ht="15" hidden="false" customHeight="false" outlineLevel="0" collapsed="false">
      <c r="A53" s="181" t="n">
        <f aca="false">DATE(YEAR(D53),MONTH(D53),DAY(1))</f>
        <v>44317</v>
      </c>
      <c r="B53" s="176" t="n">
        <v>93.555</v>
      </c>
      <c r="D53" s="177" t="n">
        <v>44316</v>
      </c>
    </row>
    <row r="54" customFormat="false" ht="15" hidden="false" customHeight="false" outlineLevel="0" collapsed="false">
      <c r="A54" s="181" t="n">
        <f aca="false">DATE(YEAR(D54),MONTH(D54),DAY(1))</f>
        <v>44347</v>
      </c>
      <c r="B54" s="176" t="n">
        <v>94.685</v>
      </c>
      <c r="D54" s="177" t="n">
        <v>44347</v>
      </c>
    </row>
    <row r="55" customFormat="false" ht="15" hidden="false" customHeight="false" outlineLevel="0" collapsed="false">
      <c r="A55" s="181" t="n">
        <f aca="false">DATE(YEAR(D55),MONTH(D55),DAY(1))</f>
        <v>44378</v>
      </c>
      <c r="B55" s="176" t="n">
        <v>95.7267</v>
      </c>
      <c r="D55" s="177" t="n">
        <v>44377</v>
      </c>
    </row>
    <row r="56" customFormat="false" ht="15" hidden="false" customHeight="false" outlineLevel="0" collapsed="false">
      <c r="A56" s="181" t="n">
        <f aca="false">DATE(YEAR(D56),MONTH(D56),DAY(1))</f>
        <v>44408</v>
      </c>
      <c r="B56" s="176" t="n">
        <v>96.685</v>
      </c>
      <c r="D56" s="177" t="n">
        <v>44407</v>
      </c>
    </row>
    <row r="57" customFormat="false" ht="15" hidden="false" customHeight="false" outlineLevel="0" collapsed="false">
      <c r="A57" s="181" t="n">
        <f aca="false">DATE(YEAR(D57),MONTH(D57),DAY(1))</f>
        <v>44439</v>
      </c>
      <c r="B57" s="176" t="n">
        <v>97.7517</v>
      </c>
      <c r="D57" s="177" t="n">
        <v>44439</v>
      </c>
    </row>
    <row r="58" customFormat="false" ht="15" hidden="false" customHeight="false" outlineLevel="0" collapsed="false">
      <c r="A58" s="181" t="n">
        <f aca="false">DATE(YEAR(D58),MONTH(D58),DAY(1))</f>
        <v>44470</v>
      </c>
      <c r="B58" s="176" t="n">
        <v>98.735</v>
      </c>
      <c r="D58" s="177" t="n">
        <v>44469</v>
      </c>
    </row>
    <row r="59" customFormat="false" ht="15" hidden="false" customHeight="false" outlineLevel="0" collapsed="false">
      <c r="A59" s="181" t="n">
        <f aca="false">DATE(YEAR(D59),MONTH(D59),DAY(1))</f>
        <v>44500</v>
      </c>
      <c r="B59" s="176" t="n">
        <v>99.7217</v>
      </c>
      <c r="D59" s="177" t="n">
        <v>44498</v>
      </c>
    </row>
    <row r="60" customFormat="false" ht="15" hidden="false" customHeight="false" outlineLevel="0" collapsed="false">
      <c r="A60" s="181" t="n">
        <f aca="false">DATE(YEAR(D60),MONTH(D60),DAY(1))</f>
        <v>44531</v>
      </c>
      <c r="B60" s="176" t="n">
        <v>100.925</v>
      </c>
      <c r="D60" s="177" t="n">
        <v>44530</v>
      </c>
    </row>
    <row r="61" customFormat="false" ht="15" hidden="false" customHeight="false" outlineLevel="0" collapsed="false">
      <c r="A61" s="181" t="n">
        <f aca="false">DATE(YEAR(D61),MONTH(D61),DAY(1))</f>
        <v>44561</v>
      </c>
      <c r="B61" s="176" t="n">
        <v>102.75</v>
      </c>
      <c r="D61" s="177" t="n">
        <v>44560</v>
      </c>
    </row>
    <row r="62" customFormat="false" ht="15" hidden="false" customHeight="false" outlineLevel="0" collapsed="false">
      <c r="A62" s="181" t="n">
        <f aca="false">DATE(YEAR(D62),MONTH(D62),DAY(1))</f>
        <v>44592</v>
      </c>
      <c r="B62" s="176" t="n">
        <v>105.015</v>
      </c>
      <c r="D62" s="177" t="n">
        <v>44592</v>
      </c>
    </row>
    <row r="63" customFormat="false" ht="15" hidden="false" customHeight="false" outlineLevel="0" collapsed="false">
      <c r="A63" s="181" t="n">
        <f aca="false">DATE(YEAR(D63),MONTH(D63),DAY(1))</f>
        <v>44623</v>
      </c>
      <c r="B63" s="176" t="n">
        <v>107.4417</v>
      </c>
      <c r="D63" s="177" t="n">
        <v>44617</v>
      </c>
    </row>
    <row r="64" customFormat="false" ht="15" hidden="false" customHeight="false" outlineLevel="0" collapsed="false">
      <c r="A64" s="181" t="n">
        <f aca="false">DATE(YEAR(D64),MONTH(D64),DAY(1))</f>
        <v>44651</v>
      </c>
      <c r="B64" s="176" t="n">
        <v>110.9783</v>
      </c>
      <c r="D64" s="177" t="n">
        <v>44651</v>
      </c>
    </row>
    <row r="65" customFormat="false" ht="15" hidden="false" customHeight="false" outlineLevel="0" collapsed="false">
      <c r="A65" s="181" t="n">
        <f aca="false">DATE(YEAR(D65),MONTH(D65),DAY(1))</f>
        <v>44682</v>
      </c>
      <c r="B65" s="176" t="n">
        <v>115.3117</v>
      </c>
      <c r="D65" s="177" t="n">
        <v>44680</v>
      </c>
    </row>
    <row r="66" customFormat="false" ht="15" hidden="false" customHeight="false" outlineLevel="0" collapsed="false">
      <c r="A66" s="181" t="n">
        <f aca="false">DATE(YEAR(D66),MONTH(D66),DAY(1))</f>
        <v>44712</v>
      </c>
      <c r="B66" s="176" t="n">
        <v>120.1617</v>
      </c>
      <c r="D66" s="177" t="n">
        <v>44712</v>
      </c>
    </row>
    <row r="67" customFormat="false" ht="15" hidden="false" customHeight="false" outlineLevel="0" collapsed="false">
      <c r="A67" s="181" t="n">
        <f aca="false">DATE(YEAR(D67),MONTH(D67),DAY(1))</f>
        <v>44743</v>
      </c>
      <c r="B67" s="176" t="n">
        <v>125.215</v>
      </c>
      <c r="D67" s="177" t="n">
        <v>44742</v>
      </c>
    </row>
    <row r="68" customFormat="false" ht="15" hidden="false" customHeight="false" outlineLevel="0" collapsed="false">
      <c r="A68" s="181" t="n">
        <f aca="false">DATE(YEAR(D68),MONTH(D68),DAY(1))</f>
        <v>44773</v>
      </c>
      <c r="B68" s="176" t="n">
        <v>131.2267</v>
      </c>
      <c r="D68" s="177" t="n">
        <v>44771</v>
      </c>
    </row>
    <row r="69" customFormat="false" ht="15" hidden="false" customHeight="false" outlineLevel="0" collapsed="false">
      <c r="A69" s="181" t="n">
        <f aca="false">DATE(YEAR(D69),MONTH(D69),DAY(1))</f>
        <v>44804</v>
      </c>
      <c r="B69" s="176" t="n">
        <v>138.7133</v>
      </c>
      <c r="D69" s="177" t="n">
        <v>44804</v>
      </c>
    </row>
    <row r="70" customFormat="false" ht="15" hidden="false" customHeight="false" outlineLevel="0" collapsed="false">
      <c r="A70" s="181" t="n">
        <f aca="false">DATE(YEAR(D70),MONTH(D70),DAY(1))</f>
        <v>44835</v>
      </c>
      <c r="B70" s="176" t="n">
        <v>147.315</v>
      </c>
      <c r="D70" s="177" t="n">
        <v>44834</v>
      </c>
    </row>
    <row r="71" customFormat="false" ht="15" hidden="false" customHeight="false" outlineLevel="0" collapsed="false">
      <c r="A71" s="181" t="n">
        <f aca="false">DATE(YEAR(D71),MONTH(D71),DAY(1))</f>
        <v>44865</v>
      </c>
      <c r="B71" s="176" t="n">
        <v>156.895</v>
      </c>
      <c r="D71" s="177" t="n">
        <v>44865</v>
      </c>
    </row>
    <row r="72" customFormat="false" ht="15" hidden="false" customHeight="false" outlineLevel="0" collapsed="false">
      <c r="A72" s="181" t="n">
        <f aca="false">DATE(YEAR(D72),MONTH(D72),DAY(1))</f>
        <v>44896</v>
      </c>
      <c r="B72" s="176" t="n">
        <v>167.255</v>
      </c>
      <c r="D72" s="177" t="n">
        <v>44895</v>
      </c>
    </row>
    <row r="73" customFormat="false" ht="15" hidden="false" customHeight="false" outlineLevel="0" collapsed="false">
      <c r="A73" s="181" t="n">
        <f aca="false">DATE(YEAR(D73),MONTH(D73),DAY(1))</f>
        <v>44926</v>
      </c>
      <c r="B73" s="176" t="n">
        <v>177.1283</v>
      </c>
      <c r="D73" s="177" t="n">
        <v>44925</v>
      </c>
    </row>
    <row r="74" customFormat="false" ht="15" hidden="false" customHeight="false" outlineLevel="0" collapsed="false">
      <c r="A74" s="181" t="n">
        <f aca="false">DATE(YEAR(D74),MONTH(D74),DAY(1))</f>
        <v>44957</v>
      </c>
      <c r="B74" s="176" t="n">
        <v>186.875</v>
      </c>
      <c r="D74" s="177" t="n">
        <v>44957</v>
      </c>
    </row>
    <row r="75" customFormat="false" ht="15" hidden="false" customHeight="false" outlineLevel="0" collapsed="false">
      <c r="A75" s="181" t="n">
        <f aca="false">DATE(YEAR(D75),MONTH(D75),DAY(1))</f>
        <v>44988</v>
      </c>
      <c r="B75" s="176" t="n">
        <v>197.1533</v>
      </c>
      <c r="D75" s="177" t="n">
        <v>44985</v>
      </c>
    </row>
    <row r="76" customFormat="false" ht="15" hidden="false" customHeight="false" outlineLevel="0" collapsed="false">
      <c r="A76" s="181" t="n">
        <f aca="false">DATE(YEAR(D76),MONTH(D76),DAY(1))</f>
        <v>45016</v>
      </c>
      <c r="B76" s="176" t="n">
        <v>208.9883</v>
      </c>
      <c r="D76" s="177" t="n">
        <v>45016</v>
      </c>
    </row>
    <row r="77" customFormat="false" ht="15" hidden="false" customHeight="false" outlineLevel="0" collapsed="false">
      <c r="A77" s="181" t="n">
        <f aca="false">DATE(YEAR(D77),MONTH(D77),DAY(1))</f>
        <v>45047</v>
      </c>
      <c r="B77" s="176" t="n">
        <v>222.575</v>
      </c>
      <c r="D77" s="177" t="n">
        <v>45044</v>
      </c>
    </row>
    <row r="78" customFormat="false" ht="15" hidden="false" customHeight="false" outlineLevel="0" collapsed="false">
      <c r="A78" s="181" t="n">
        <f aca="false">DATE(YEAR(D78),MONTH(D78),DAY(1))</f>
        <v>45077</v>
      </c>
      <c r="B78" s="176" t="n">
        <v>239.325</v>
      </c>
      <c r="D78" s="177" t="n">
        <v>45077</v>
      </c>
    </row>
    <row r="79" customFormat="false" ht="15" hidden="false" customHeight="false" outlineLevel="0" collapsed="false">
      <c r="A79" s="181" t="n">
        <f aca="false">DATE(YEAR(D79),MONTH(D79),DAY(1))</f>
        <v>45108</v>
      </c>
      <c r="B79" s="176" t="n">
        <v>256.675</v>
      </c>
      <c r="D79" s="177" t="n">
        <v>45107</v>
      </c>
    </row>
    <row r="80" customFormat="false" ht="15" hidden="false" customHeight="false" outlineLevel="0" collapsed="false">
      <c r="A80" s="181" t="n">
        <f aca="false">DATE(YEAR(D80),MONTH(D80),DAY(1))</f>
        <v>45138</v>
      </c>
      <c r="B80" s="176" t="n">
        <v>275.2833</v>
      </c>
      <c r="D80" s="177" t="n">
        <v>45138</v>
      </c>
    </row>
    <row r="81" customFormat="false" ht="15" hidden="false" customHeight="false" outlineLevel="0" collapsed="false">
      <c r="A81" s="181" t="n">
        <f aca="false">DATE(YEAR(D81),MONTH(D81),DAY(1))</f>
        <v>45169</v>
      </c>
      <c r="B81" s="176" t="n">
        <v>350.0167</v>
      </c>
      <c r="D81" s="177" t="n">
        <v>45169</v>
      </c>
    </row>
    <row r="82" customFormat="false" ht="15" hidden="false" customHeight="false" outlineLevel="0" collapsed="false">
      <c r="A82" s="181" t="n">
        <f aca="false">DATE(YEAR(D82),MONTH(D82),DAY(1))</f>
        <v>45200</v>
      </c>
      <c r="B82" s="176" t="n">
        <v>350.0083</v>
      </c>
      <c r="D82" s="177" t="n">
        <v>45198</v>
      </c>
    </row>
    <row r="83" customFormat="false" ht="15" hidden="false" customHeight="false" outlineLevel="0" collapsed="false">
      <c r="A83" s="181" t="n">
        <f aca="false">DATE(YEAR(D83),MONTH(D83),DAY(1))</f>
        <v>45230</v>
      </c>
      <c r="B83" s="176" t="n">
        <v>350.0083</v>
      </c>
      <c r="D83" s="177" t="n">
        <v>45230</v>
      </c>
    </row>
    <row r="84" customFormat="false" ht="15" hidden="false" customHeight="false" outlineLevel="0" collapsed="false">
      <c r="A84" s="181" t="n">
        <f aca="false">DATE(YEAR(D84),MONTH(D84),DAY(1))</f>
        <v>45261</v>
      </c>
      <c r="B84" s="176" t="n">
        <v>360.525</v>
      </c>
      <c r="D84" s="177" t="n">
        <v>45260</v>
      </c>
    </row>
    <row r="85" customFormat="false" ht="15" hidden="false" customHeight="false" outlineLevel="0" collapsed="false">
      <c r="A85" s="181" t="n">
        <f aca="false">DATE(YEAR(D85),MONTH(D85),DAY(1))</f>
        <v>45291</v>
      </c>
      <c r="B85" s="176" t="n">
        <v>808.4833</v>
      </c>
      <c r="D85" s="177" t="n">
        <v>45289</v>
      </c>
    </row>
    <row r="86" customFormat="false" ht="15" hidden="false" customHeight="false" outlineLevel="0" collapsed="false">
      <c r="A86" s="181" t="n">
        <f aca="false">DATE(YEAR(D86),MONTH(D86),DAY(1))</f>
        <v>45322</v>
      </c>
      <c r="B86" s="176" t="n">
        <v>826.25</v>
      </c>
      <c r="D86" s="177" t="n">
        <v>45322</v>
      </c>
    </row>
    <row r="87" customFormat="false" ht="15" hidden="false" customHeight="false" outlineLevel="0" collapsed="false">
      <c r="A87" s="181" t="n">
        <f aca="false">DATE(YEAR(D87),MONTH(D87),DAY(1))</f>
        <v>45353</v>
      </c>
      <c r="B87" s="176" t="n">
        <v>842.25</v>
      </c>
      <c r="D87" s="177" t="n">
        <v>45351</v>
      </c>
    </row>
    <row r="88" customFormat="false" ht="15" hidden="false" customHeight="false" outlineLevel="0" collapsed="false">
      <c r="A88" s="181" t="n">
        <f aca="false">DATE(YEAR(D88),MONTH(D88),DAY(1))</f>
        <v>45382</v>
      </c>
      <c r="B88" s="176" t="n">
        <v>857.4167</v>
      </c>
      <c r="D88" s="177" t="n">
        <v>45378</v>
      </c>
    </row>
    <row r="89" customFormat="false" ht="15" hidden="false" customHeight="false" outlineLevel="0" collapsed="false">
      <c r="A89" s="181" t="n">
        <f aca="false">DATE(YEAR(D89),MONTH(D89),DAY(1))</f>
        <v>45413</v>
      </c>
      <c r="B89" s="176" t="n">
        <v>876.75</v>
      </c>
      <c r="D89" s="177" t="n">
        <v>45412</v>
      </c>
    </row>
    <row r="90" customFormat="false" ht="15" hidden="false" customHeight="false" outlineLevel="0" collapsed="false">
      <c r="A90" s="181" t="n">
        <f aca="false">DATE(YEAR(D90),MONTH(D90),DAY(1))</f>
        <v>45443</v>
      </c>
      <c r="B90" s="176" t="n">
        <v>895.25</v>
      </c>
      <c r="D90" s="177" t="n">
        <v>45443</v>
      </c>
    </row>
    <row r="91" customFormat="false" ht="15" hidden="false" customHeight="false" outlineLevel="0" collapsed="false">
      <c r="A91" s="181" t="n">
        <f aca="false">DATE(YEAR(D91),MONTH(D91),DAY(1))</f>
        <v>45474</v>
      </c>
      <c r="B91" s="176" t="n">
        <v>911.75</v>
      </c>
      <c r="D91" s="177" t="n">
        <v>45471</v>
      </c>
    </row>
    <row r="92" customFormat="false" ht="15" hidden="false" customHeight="false" outlineLevel="0" collapsed="false">
      <c r="A92" s="181" t="n">
        <f aca="false">DATE(YEAR(D92),MONTH(D92),DAY(1))</f>
        <v>45504</v>
      </c>
      <c r="B92" s="176" t="n">
        <v>932.75</v>
      </c>
      <c r="D92" s="177" t="n">
        <v>45504</v>
      </c>
    </row>
    <row r="93" customFormat="false" ht="15" hidden="false" customHeight="false" outlineLevel="0" collapsed="false">
      <c r="A93" s="181" t="n">
        <f aca="false">DATE(YEAR(D93),MONTH(D93),DAY(1))</f>
        <v>45535</v>
      </c>
      <c r="B93" s="176" t="n">
        <v>952.8333</v>
      </c>
      <c r="D93" s="177" t="n">
        <v>45534</v>
      </c>
    </row>
    <row r="94" customFormat="false" ht="15" hidden="false" customHeight="false" outlineLevel="0" collapsed="false">
      <c r="A94" s="181" t="n">
        <f aca="false">DATE(YEAR(D94),MONTH(D94),DAY(1))</f>
        <v>45566</v>
      </c>
      <c r="B94" s="176" t="n">
        <v>970.9167</v>
      </c>
      <c r="D94" s="177" t="n">
        <v>45565</v>
      </c>
    </row>
    <row r="95" customFormat="false" ht="15" hidden="false" customHeight="false" outlineLevel="0" collapsed="false">
      <c r="A95" s="181" t="n">
        <f aca="false">DATE(YEAR(D95),MONTH(D95),DAY(1))</f>
        <v>45596</v>
      </c>
      <c r="B95" s="176" t="n">
        <v>990.75</v>
      </c>
      <c r="D95" s="177" t="n">
        <v>45596</v>
      </c>
    </row>
    <row r="96" customFormat="false" ht="15" hidden="false" customHeight="false" outlineLevel="0" collapsed="false">
      <c r="A96" s="181" t="n">
        <f aca="false">DATE(YEAR(D96),MONTH(D96),DAY(1))</f>
        <v>45627</v>
      </c>
      <c r="B96" s="176" t="n">
        <v>1011.75</v>
      </c>
      <c r="D96" s="177" t="n">
        <v>45625</v>
      </c>
    </row>
    <row r="97" customFormat="false" ht="15" hidden="false" customHeight="false" outlineLevel="0" collapsed="false">
      <c r="A97" s="181" t="n">
        <f aca="false">DATE(YEAR(D97),MONTH(D97),DAY(1))</f>
        <v>45657</v>
      </c>
      <c r="B97" s="176" t="n">
        <v>1032.5</v>
      </c>
      <c r="D97" s="177" t="n">
        <v>45656</v>
      </c>
    </row>
    <row r="98" customFormat="false" ht="15" hidden="false" customHeight="false" outlineLevel="0" collapsed="false">
      <c r="A98" s="181" t="n">
        <f aca="false">DATE(YEAR(D98),MONTH(D98),DAY(1))</f>
        <v>45688</v>
      </c>
      <c r="B98" s="176" t="n">
        <v>1053.5</v>
      </c>
      <c r="D98" s="177" t="n">
        <v>45688</v>
      </c>
    </row>
    <row r="99" customFormat="false" ht="15" hidden="false" customHeight="false" outlineLevel="0" collapsed="false">
      <c r="A99" s="181" t="n">
        <f aca="false">DATE(YEAR(D99),MONTH(D99),DAY(1))</f>
        <v>45719</v>
      </c>
      <c r="B99" s="176" t="n">
        <v>1064.375</v>
      </c>
      <c r="D99" s="177" t="n">
        <v>45716</v>
      </c>
    </row>
    <row r="100" customFormat="false" ht="15" hidden="false" customHeight="false" outlineLevel="0" collapsed="false">
      <c r="A100" s="181" t="n">
        <f aca="false">DATE(YEAR(D100),MONTH(D100),DAY(1))</f>
        <v>45747</v>
      </c>
      <c r="B100" s="176" t="n">
        <v>1073.875</v>
      </c>
      <c r="D100" s="177" t="n">
        <v>45747</v>
      </c>
    </row>
    <row r="101" customFormat="false" ht="15" hidden="false" customHeight="false" outlineLevel="0" collapsed="false">
      <c r="A101" s="181" t="n">
        <f aca="false">DATE(YEAR(D101),MONTH(D101),DAY(1))</f>
        <v>45778</v>
      </c>
      <c r="B101" s="176" t="n">
        <v>1172</v>
      </c>
      <c r="D101" s="177" t="n">
        <v>45777</v>
      </c>
    </row>
    <row r="102" customFormat="false" ht="15" hidden="false" customHeight="false" outlineLevel="0" collapsed="false">
      <c r="A102" s="181" t="n">
        <f aca="false">DATE(YEAR(D102),MONTH(D102),DAY(1))</f>
        <v>45808</v>
      </c>
      <c r="B102" s="176" t="n">
        <v>1195.3333</v>
      </c>
      <c r="D102" s="177" t="n">
        <v>45807</v>
      </c>
    </row>
    <row r="103" customFormat="false" ht="15" hidden="false" customHeight="false" outlineLevel="0" collapsed="false">
      <c r="A103" s="181" t="n">
        <f aca="false">DATE(YEAR(D103),MONTH(D103),DAY(1))</f>
        <v>45839</v>
      </c>
      <c r="B103" s="176" t="n">
        <v>1194.0833</v>
      </c>
      <c r="D103" s="177" t="n">
        <v>45838</v>
      </c>
    </row>
    <row r="104" customFormat="false" ht="15" hidden="false" customHeight="false" outlineLevel="0" collapsed="false">
      <c r="A104" s="181" t="n">
        <f aca="false">DATE(YEAR(D104),MONTH(D104),DAY(1))</f>
        <v>45869</v>
      </c>
      <c r="B104" s="176" t="n">
        <v>1351.8333</v>
      </c>
      <c r="D104" s="177" t="n">
        <v>45869</v>
      </c>
    </row>
    <row r="105" customFormat="false" ht="15" hidden="false" customHeight="false" outlineLevel="0" collapsed="false">
      <c r="A105" s="181" t="n">
        <f aca="false">DATE(YEAR(D105),MONTH(D105),DAY(1))</f>
        <v>45900</v>
      </c>
      <c r="B105" s="176" t="n">
        <v>1323.8333</v>
      </c>
      <c r="D105" s="177" t="n">
        <v>45898</v>
      </c>
    </row>
    <row r="106" customFormat="false" ht="15" hidden="false" customHeight="false" outlineLevel="0" collapsed="false">
      <c r="A106" s="181" t="n">
        <f aca="false">DATE(YEAR(D106),MONTH(D106),DAY(1))</f>
        <v>45931</v>
      </c>
      <c r="B106" s="176" t="n">
        <v>1366.5833</v>
      </c>
      <c r="D106" s="177" t="n">
        <v>45930</v>
      </c>
    </row>
    <row r="107" customFormat="false" ht="15" hidden="false" customHeight="false" outlineLevel="0" collapsed="false">
      <c r="A107" s="181" t="n">
        <f aca="false">DATE(YEAR(D107),MONTH(D107),DAY(1))</f>
        <v>45961</v>
      </c>
      <c r="B107" s="176" t="n">
        <v>1443</v>
      </c>
      <c r="D107" s="177" t="n">
        <v>45961</v>
      </c>
    </row>
    <row r="108" customFormat="false" ht="15" hidden="false" customHeight="false" outlineLevel="0" collapsed="false">
      <c r="A108" s="181" t="n">
        <f aca="false">DATE(YEAR(D108),MONTH(D108),DAY(1))</f>
        <v>45992</v>
      </c>
      <c r="B108" s="176" t="n">
        <v>1450.75</v>
      </c>
      <c r="D108" s="177" t="n">
        <v>45989</v>
      </c>
    </row>
    <row r="109" customFormat="false" ht="15" hidden="false" customHeight="false" outlineLevel="0" collapsed="false">
      <c r="A109" s="181" t="n">
        <f aca="false">DATE(YEAR(D109),MONTH(D109),DAY(1))</f>
        <v>46022</v>
      </c>
      <c r="B109" s="176" t="n">
        <v>1459.4167</v>
      </c>
      <c r="D109" s="177" t="n">
        <v>46021</v>
      </c>
    </row>
    <row r="110" customFormat="false" ht="15" hidden="false" customHeight="false" outlineLevel="0" collapsed="false">
      <c r="A110" s="181" t="n">
        <f aca="false">DATE(YEAR(D110),MONTH(D110),DAY(1))</f>
        <v>46053</v>
      </c>
      <c r="B110" s="176" t="n">
        <v>1447.6657</v>
      </c>
      <c r="D110" s="177" t="n">
        <v>46052</v>
      </c>
    </row>
    <row r="111" customFormat="false" ht="15" hidden="false" customHeight="false" outlineLevel="0" collapsed="false">
      <c r="A111" s="181" t="n">
        <f aca="false">DATE(YEAR(D111),MONTH(D111),DAY(1))</f>
        <v>46084</v>
      </c>
      <c r="B111" s="176" t="n">
        <v>1408.9662</v>
      </c>
      <c r="D111" s="177" t="n">
        <v>46080</v>
      </c>
    </row>
    <row r="112" customFormat="false" ht="15" hidden="false" customHeight="false" outlineLevel="0" collapsed="false">
      <c r="A112" s="181" t="n">
        <f aca="false">DATE(YEAR(D112),MONTH(D112),DAY(1))</f>
        <v>46112</v>
      </c>
      <c r="B112" s="176" t="n">
        <v>1382.7578</v>
      </c>
      <c r="D112" s="177" t="n">
        <v>46112</v>
      </c>
    </row>
    <row r="113" customFormat="false" ht="15" hidden="false" customHeight="false" outlineLevel="0" collapsed="false">
      <c r="A113" s="181"/>
    </row>
    <row r="114" customFormat="false" ht="15" hidden="false" customHeight="false" outlineLevel="0" collapsed="false">
      <c r="A114" s="181"/>
    </row>
    <row r="115" customFormat="false" ht="15" hidden="false" customHeight="false" outlineLevel="0" collapsed="false">
      <c r="A115" s="181"/>
    </row>
    <row r="116" customFormat="false" ht="15" hidden="false" customHeight="false" outlineLevel="0" collapsed="false">
      <c r="A116" s="181"/>
    </row>
  </sheetData>
  <mergeCells count="2">
    <mergeCell ref="G5:I5"/>
    <mergeCell ref="F17:K17"/>
  </mergeCells>
  <hyperlinks>
    <hyperlink ref="F17" r:id="rId1" display=" &gt;&gt;&gt;&gt;  DESCARGAR EXCEL CON COTIZACIONES  &lt;&lt;&lt;&lt;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2019-05-02T14:58:17Z</dcterms:created>
  <dc:creator>gavidal</dc:creator>
  <dc:description/>
  <dc:language>es-AR</dc:language>
  <cp:lastModifiedBy>BCCL</cp:lastModifiedBy>
  <cp:lastPrinted>2021-07-20T11:27:06Z</cp:lastPrinted>
  <dcterms:modified xsi:type="dcterms:W3CDTF">2026-04-21T12:23:34Z</dcterms:modified>
  <cp:revision>0</cp:revision>
  <dc:subject/>
  <dc:title/>
</cp:coreProperties>
</file>